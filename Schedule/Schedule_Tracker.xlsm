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322" codeName="{643B0D74-A683-FBA9-23B4-8A0AA6E0B6B9}"/>
  <workbookPr codeName="ThisWorkbook"/>
  <mc:AlternateContent xmlns:mc="http://schemas.openxmlformats.org/markup-compatibility/2006">
    <mc:Choice Requires="x15">
      <x15ac:absPath xmlns:x15ac="http://schemas.microsoft.com/office/spreadsheetml/2010/11/ac" url="/Users/chancheukhang/Downloads/CMSI/Github/Schedule/"/>
    </mc:Choice>
  </mc:AlternateContent>
  <xr:revisionPtr revIDLastSave="0" documentId="13_ncr:1_{3C1BDFFE-0F4F-5447-95E0-D757D7508A4E}" xr6:coauthVersionLast="47" xr6:coauthVersionMax="47" xr10:uidLastSave="{00000000-0000-0000-0000-000000000000}"/>
  <bookViews>
    <workbookView xWindow="0" yWindow="600" windowWidth="28800" windowHeight="16400" activeTab="4" xr2:uid="{00000000-000D-0000-FFFF-FFFF00000000}"/>
  </bookViews>
  <sheets>
    <sheet name="Results" sheetId="1" r:id="rId1"/>
    <sheet name="Schedule" sheetId="2" r:id="rId2"/>
    <sheet name="Sheet1" sheetId="6" r:id="rId3"/>
    <sheet name="Tracker" sheetId="4" r:id="rId4"/>
    <sheet name="database" sheetId="3" r:id="rId5"/>
    <sheet name="ringfence" sheetId="5" r:id="rId6"/>
  </sheets>
  <functionGroups builtInGroupCount="19"/>
  <definedNames>
    <definedName name="_xlnm._FilterDatabase" localSheetId="3" hidden="1">Tracker!$A$2:$P$2</definedName>
    <definedName name="_xleta.COUNTIF" hidden="1" xlm="1">#NAME?</definedName>
    <definedName name="CompanyName">CompanyName1[#All]</definedName>
    <definedName name="Page1">Results!$A$1:$E$2</definedName>
    <definedName name="RingFence">ringfence!$A$1:$I$100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15" i="2" l="1" a="1"/>
  <c r="F15" i="2" s="1"/>
  <c r="F26" i="2" a="1"/>
  <c r="F26" i="2" s="1"/>
  <c r="I26" i="2" s="1"/>
  <c r="CY2" i="2" l="1"/>
  <c r="CR2" i="2"/>
  <c r="CM2" i="2"/>
  <c r="CH2" i="2"/>
  <c r="CC2" i="2"/>
  <c r="BS2" i="2"/>
  <c r="BX2" i="2"/>
  <c r="BB2" i="2"/>
  <c r="AW2" i="2"/>
  <c r="AM2" i="2"/>
  <c r="AR2" i="2"/>
  <c r="R47" i="2"/>
  <c r="Q47" i="2"/>
  <c r="P47" i="2"/>
  <c r="O47" i="2"/>
  <c r="N47" i="2"/>
  <c r="R36" i="2"/>
  <c r="Q36" i="2"/>
  <c r="P36" i="2"/>
  <c r="O36" i="2"/>
  <c r="N36" i="2"/>
  <c r="R25" i="2"/>
  <c r="Q25" i="2"/>
  <c r="P25" i="2"/>
  <c r="O25" i="2"/>
  <c r="N25" i="2"/>
  <c r="O14" i="2"/>
  <c r="P14" i="2"/>
  <c r="Q14" i="2"/>
  <c r="R14" i="2"/>
  <c r="N14" i="2"/>
  <c r="F37" i="2" a="1"/>
  <c r="F37" i="2" s="1"/>
  <c r="Q37" i="2" l="1"/>
  <c r="I37" i="2"/>
  <c r="N37" i="2"/>
  <c r="O37" i="2"/>
  <c r="P37" i="2"/>
  <c r="R37" i="2"/>
  <c r="F49" i="2" l="1" a="1"/>
  <c r="F49" i="2" s="1"/>
  <c r="I49" i="2" s="1"/>
  <c r="DH2" i="2" s="1"/>
  <c r="F18" i="2" a="1"/>
  <c r="A2" i="2"/>
  <c r="F53" i="2" a="1"/>
  <c r="F52" i="2" a="1"/>
  <c r="F51" i="2" a="1"/>
  <c r="F50" i="2" a="1"/>
  <c r="F48" i="2" a="1"/>
  <c r="F42" i="2" a="1"/>
  <c r="F42" i="2" s="1"/>
  <c r="I42" i="2" s="1"/>
  <c r="CV2" i="2" s="1"/>
  <c r="F41" i="2" a="1"/>
  <c r="F41" i="2" s="1"/>
  <c r="I41" i="2" s="1"/>
  <c r="CQ2" i="2" s="1"/>
  <c r="F40" i="2" a="1"/>
  <c r="F39" i="2" a="1"/>
  <c r="F38" i="2" a="1"/>
  <c r="F31" i="2" a="1"/>
  <c r="F30" i="2" a="1"/>
  <c r="F29" i="2" a="1"/>
  <c r="F28" i="2" a="1"/>
  <c r="F27" i="2" a="1"/>
  <c r="F16" i="2" a="1"/>
  <c r="F17" i="2" a="1"/>
  <c r="F19" i="2" a="1"/>
  <c r="F20" i="2" a="1"/>
  <c r="DY2" i="2"/>
  <c r="CD2" i="2"/>
  <c r="BY2" i="2"/>
  <c r="BT2" i="2"/>
  <c r="BM2" i="2"/>
  <c r="BH2" i="2"/>
  <c r="S53" i="2" a="1"/>
  <c r="S53" i="2" s="1"/>
  <c r="IR2" i="2" s="1"/>
  <c r="S52" i="2" a="1"/>
  <c r="S52" i="2" s="1"/>
  <c r="IQ2" i="2" s="1"/>
  <c r="S51" i="2" a="1"/>
  <c r="S51" i="2" s="1"/>
  <c r="IP2" i="2" s="1"/>
  <c r="S50" i="2" a="1"/>
  <c r="S50" i="2" s="1"/>
  <c r="IO2" i="2" s="1"/>
  <c r="S49" i="2" a="1"/>
  <c r="S49" i="2" s="1"/>
  <c r="IN2" i="2" s="1"/>
  <c r="S48" i="2" a="1"/>
  <c r="S48" i="2" s="1"/>
  <c r="IM2" i="2" s="1"/>
  <c r="S42" i="2" a="1"/>
  <c r="S42" i="2" s="1"/>
  <c r="IL2" i="2" s="1"/>
  <c r="S41" i="2" a="1"/>
  <c r="S41" i="2" s="1"/>
  <c r="IK2" i="2" s="1"/>
  <c r="S40" i="2" a="1"/>
  <c r="S40" i="2" s="1"/>
  <c r="IJ2" i="2" s="1"/>
  <c r="S39" i="2" a="1"/>
  <c r="S39" i="2" s="1"/>
  <c r="II2" i="2" s="1"/>
  <c r="S38" i="2" a="1"/>
  <c r="S38" i="2" s="1"/>
  <c r="IH2" i="2" s="1"/>
  <c r="S37" i="2" a="1"/>
  <c r="S37" i="2" s="1"/>
  <c r="IG2" i="2" s="1"/>
  <c r="S31" i="2" a="1"/>
  <c r="S31" i="2" s="1"/>
  <c r="IF2" i="2" s="1"/>
  <c r="S30" i="2" a="1"/>
  <c r="S30" i="2" s="1"/>
  <c r="IE2" i="2" s="1"/>
  <c r="S29" i="2" a="1"/>
  <c r="S29" i="2" s="1"/>
  <c r="ID2" i="2" s="1"/>
  <c r="S28" i="2" a="1"/>
  <c r="S28" i="2" s="1"/>
  <c r="IC2" i="2" s="1"/>
  <c r="S27" i="2" a="1"/>
  <c r="S27" i="2" s="1"/>
  <c r="IB2" i="2" s="1"/>
  <c r="S26" i="2" a="1"/>
  <c r="S26" i="2" s="1"/>
  <c r="IA2" i="2" s="1"/>
  <c r="S16" i="2" a="1"/>
  <c r="S16" i="2" s="1"/>
  <c r="HV2" i="2" s="1"/>
  <c r="S17" i="2" a="1"/>
  <c r="S17" i="2" s="1"/>
  <c r="HW2" i="2" s="1"/>
  <c r="S18" i="2" a="1"/>
  <c r="S18" i="2" s="1"/>
  <c r="S19" i="2" a="1"/>
  <c r="S19" i="2" s="1"/>
  <c r="S20" i="2" a="1"/>
  <c r="S20" i="2" s="1"/>
  <c r="HZ2" i="2" s="1"/>
  <c r="S15" i="2" a="1"/>
  <c r="S15" i="2" s="1"/>
  <c r="HU2" i="2" s="1"/>
  <c r="H2" i="2"/>
  <c r="E2" i="2"/>
  <c r="CW2" i="2"/>
  <c r="AB2" i="2"/>
  <c r="AA2" i="2"/>
  <c r="AK2" i="2"/>
  <c r="BQ2" i="2"/>
  <c r="AF2" i="2"/>
  <c r="DX2" i="2"/>
  <c r="DT2" i="2"/>
  <c r="DS2" i="2"/>
  <c r="DO2" i="2"/>
  <c r="DN2" i="2"/>
  <c r="DJ2" i="2"/>
  <c r="DI2" i="2"/>
  <c r="DE2" i="2"/>
  <c r="DD2" i="2"/>
  <c r="CZ2" i="2"/>
  <c r="CX2" i="2"/>
  <c r="CS2" i="2"/>
  <c r="CN2" i="2"/>
  <c r="CI2" i="2"/>
  <c r="BW2" i="2"/>
  <c r="BR2" i="2"/>
  <c r="BL2" i="2"/>
  <c r="BG2" i="2"/>
  <c r="BC2" i="2"/>
  <c r="AX2" i="2"/>
  <c r="AS2" i="2"/>
  <c r="AQ2" i="2"/>
  <c r="AN2" i="2"/>
  <c r="AL2" i="2"/>
  <c r="AG2" i="2"/>
  <c r="W2" i="2"/>
  <c r="V2" i="2"/>
  <c r="R2" i="2"/>
  <c r="Q2" i="2"/>
  <c r="M2" i="2"/>
  <c r="L2" i="2"/>
  <c r="G2" i="2"/>
  <c r="F2" i="2"/>
  <c r="D2" i="2"/>
  <c r="C2" i="2"/>
  <c r="B2" i="2"/>
  <c r="N15" i="2" l="1"/>
  <c r="I15" i="2"/>
  <c r="K2" i="2" s="1"/>
  <c r="H15" i="2"/>
  <c r="H41" i="2"/>
  <c r="CP2" i="2" s="1"/>
  <c r="O41" i="2"/>
  <c r="N41" i="2"/>
  <c r="R41" i="2"/>
  <c r="P41" i="2"/>
  <c r="Q41" i="2"/>
  <c r="P49" i="2"/>
  <c r="Q49" i="2"/>
  <c r="O49" i="2"/>
  <c r="N49" i="2"/>
  <c r="R49" i="2"/>
  <c r="P15" i="2"/>
  <c r="Q15" i="2"/>
  <c r="R15" i="2"/>
  <c r="O15" i="2"/>
  <c r="H42" i="2"/>
  <c r="CU2" i="2" s="1"/>
  <c r="Q42" i="2"/>
  <c r="R42" i="2"/>
  <c r="O42" i="2"/>
  <c r="P42" i="2"/>
  <c r="N42" i="2"/>
  <c r="T41" i="2"/>
  <c r="T42" i="2"/>
  <c r="T49" i="2"/>
  <c r="T15" i="2"/>
  <c r="I2" i="2"/>
  <c r="F40" i="2"/>
  <c r="I40" i="2" s="1"/>
  <c r="CL2" i="2" s="1"/>
  <c r="F38" i="2"/>
  <c r="I38" i="2" s="1"/>
  <c r="CB2" i="2" s="1"/>
  <c r="F39" i="2"/>
  <c r="I39" i="2" s="1"/>
  <c r="CG2" i="2" s="1"/>
  <c r="F48" i="2"/>
  <c r="I48" i="2" s="1"/>
  <c r="DC2" i="2" s="1"/>
  <c r="F53" i="2"/>
  <c r="F52" i="2"/>
  <c r="I52" i="2" s="1"/>
  <c r="DW2" i="2" s="1"/>
  <c r="F51" i="2"/>
  <c r="I51" i="2" s="1"/>
  <c r="DR2" i="2" s="1"/>
  <c r="F50" i="2"/>
  <c r="I50" i="2" s="1"/>
  <c r="DM2" i="2" s="1"/>
  <c r="H49" i="2"/>
  <c r="DG2" i="2" s="1"/>
  <c r="F31" i="2"/>
  <c r="I31" i="2" s="1"/>
  <c r="BP2" i="2" s="1"/>
  <c r="F30" i="2"/>
  <c r="I30" i="2" s="1"/>
  <c r="BK2" i="2" s="1"/>
  <c r="F29" i="2"/>
  <c r="I29" i="2" s="1"/>
  <c r="BF2" i="2" s="1"/>
  <c r="F18" i="2"/>
  <c r="I18" i="2" s="1"/>
  <c r="Z2" i="2" s="1"/>
  <c r="F28" i="2"/>
  <c r="I28" i="2" s="1"/>
  <c r="BA2" i="2" s="1"/>
  <c r="F27" i="2"/>
  <c r="I27" i="2" s="1"/>
  <c r="AV2" i="2" s="1"/>
  <c r="F20" i="2"/>
  <c r="I20" i="2" s="1"/>
  <c r="AJ2" i="2" s="1"/>
  <c r="F19" i="2"/>
  <c r="I19" i="2" s="1"/>
  <c r="AE2" i="2" s="1"/>
  <c r="H37" i="2"/>
  <c r="BV2" i="2" s="1"/>
  <c r="F17" i="2"/>
  <c r="I17" i="2" s="1"/>
  <c r="U2" i="2" s="1"/>
  <c r="F16" i="2"/>
  <c r="I16" i="2" s="1"/>
  <c r="P2" i="2" s="1"/>
  <c r="HX2" i="2"/>
  <c r="HY2" i="2"/>
  <c r="J53" i="2"/>
  <c r="HQ2" i="2" s="1"/>
  <c r="J52" i="2"/>
  <c r="HM2" i="2" s="1"/>
  <c r="J51" i="2"/>
  <c r="HI2" i="2" s="1"/>
  <c r="J50" i="2"/>
  <c r="HE2" i="2" s="1"/>
  <c r="J49" i="2"/>
  <c r="HA2" i="2" s="1"/>
  <c r="J48" i="2"/>
  <c r="GW2" i="2" s="1"/>
  <c r="I53" i="2" l="1"/>
  <c r="EB2" i="2" s="1"/>
  <c r="L53" i="2"/>
  <c r="AY2" i="2"/>
  <c r="O16" i="2"/>
  <c r="R16" i="2"/>
  <c r="N16" i="2"/>
  <c r="P16" i="2"/>
  <c r="Q16" i="2"/>
  <c r="H18" i="2"/>
  <c r="Y2" i="2" s="1"/>
  <c r="Q18" i="2"/>
  <c r="R18" i="2"/>
  <c r="N18" i="2"/>
  <c r="P18" i="2"/>
  <c r="O18" i="2"/>
  <c r="H53" i="2"/>
  <c r="EA2" i="2" s="1"/>
  <c r="R53" i="2"/>
  <c r="Q53" i="2"/>
  <c r="P53" i="2"/>
  <c r="O53" i="2"/>
  <c r="N53" i="2"/>
  <c r="H19" i="2"/>
  <c r="AD2" i="2" s="1"/>
  <c r="Q19" i="2"/>
  <c r="P19" i="2"/>
  <c r="N19" i="2"/>
  <c r="O19" i="2"/>
  <c r="R19" i="2"/>
  <c r="R31" i="2"/>
  <c r="O31" i="2"/>
  <c r="Q31" i="2"/>
  <c r="N31" i="2"/>
  <c r="P31" i="2"/>
  <c r="H38" i="2"/>
  <c r="CA2" i="2" s="1"/>
  <c r="N38" i="2"/>
  <c r="Q38" i="2"/>
  <c r="O38" i="2"/>
  <c r="P38" i="2"/>
  <c r="R38" i="2"/>
  <c r="H20" i="2"/>
  <c r="AI2" i="2" s="1"/>
  <c r="P20" i="2"/>
  <c r="Q20" i="2"/>
  <c r="O20" i="2"/>
  <c r="R20" i="2"/>
  <c r="N20" i="2"/>
  <c r="H40" i="2"/>
  <c r="CK2" i="2" s="1"/>
  <c r="Q40" i="2"/>
  <c r="P40" i="2"/>
  <c r="R40" i="2"/>
  <c r="O40" i="2"/>
  <c r="N40" i="2"/>
  <c r="T26" i="2"/>
  <c r="Q26" i="2"/>
  <c r="P26" i="2"/>
  <c r="O26" i="2"/>
  <c r="N26" i="2"/>
  <c r="R26" i="2"/>
  <c r="H50" i="2"/>
  <c r="DL2" i="2" s="1"/>
  <c r="R50" i="2"/>
  <c r="N50" i="2"/>
  <c r="O50" i="2"/>
  <c r="Q50" i="2"/>
  <c r="P50" i="2"/>
  <c r="H17" i="2"/>
  <c r="T2" i="2" s="1"/>
  <c r="Q17" i="2"/>
  <c r="O17" i="2"/>
  <c r="N17" i="2"/>
  <c r="R17" i="2"/>
  <c r="P17" i="2"/>
  <c r="H29" i="2"/>
  <c r="BE2" i="2" s="1"/>
  <c r="P29" i="2"/>
  <c r="Q29" i="2"/>
  <c r="O29" i="2"/>
  <c r="N29" i="2"/>
  <c r="R29" i="2"/>
  <c r="R48" i="2"/>
  <c r="Q48" i="2"/>
  <c r="P48" i="2"/>
  <c r="O48" i="2"/>
  <c r="N48" i="2"/>
  <c r="H30" i="2"/>
  <c r="BJ2" i="2" s="1"/>
  <c r="N30" i="2"/>
  <c r="O30" i="2"/>
  <c r="R30" i="2"/>
  <c r="Q30" i="2"/>
  <c r="P30" i="2"/>
  <c r="H39" i="2"/>
  <c r="CF2" i="2" s="1"/>
  <c r="Q39" i="2"/>
  <c r="R39" i="2"/>
  <c r="P39" i="2"/>
  <c r="O39" i="2"/>
  <c r="N39" i="2"/>
  <c r="H27" i="2"/>
  <c r="AU2" i="2" s="1"/>
  <c r="O27" i="2"/>
  <c r="N27" i="2"/>
  <c r="R27" i="2"/>
  <c r="P27" i="2"/>
  <c r="Q27" i="2"/>
  <c r="H51" i="2"/>
  <c r="DQ2" i="2" s="1"/>
  <c r="R51" i="2"/>
  <c r="O51" i="2"/>
  <c r="Q51" i="2"/>
  <c r="N51" i="2"/>
  <c r="P51" i="2"/>
  <c r="H28" i="2"/>
  <c r="AZ2" i="2" s="1"/>
  <c r="R28" i="2"/>
  <c r="P28" i="2"/>
  <c r="N28" i="2"/>
  <c r="Q28" i="2"/>
  <c r="O28" i="2"/>
  <c r="P52" i="2"/>
  <c r="N52" i="2"/>
  <c r="Q52" i="2"/>
  <c r="O52" i="2"/>
  <c r="R52" i="2"/>
  <c r="H16" i="2"/>
  <c r="O2" i="2" s="1"/>
  <c r="H31" i="2"/>
  <c r="BO2" i="2" s="1"/>
  <c r="T53" i="2"/>
  <c r="T40" i="2"/>
  <c r="T39" i="2"/>
  <c r="T38" i="2"/>
  <c r="H52" i="2"/>
  <c r="DV2" i="2" s="1"/>
  <c r="T52" i="2"/>
  <c r="T31" i="2"/>
  <c r="T51" i="2"/>
  <c r="T50" i="2"/>
  <c r="T37" i="2"/>
  <c r="T28" i="2"/>
  <c r="T27" i="2"/>
  <c r="T30" i="2"/>
  <c r="T29" i="2"/>
  <c r="T19" i="2"/>
  <c r="T20" i="2"/>
  <c r="T17" i="2"/>
  <c r="T18" i="2"/>
  <c r="T16" i="2"/>
  <c r="H48" i="2"/>
  <c r="DB2" i="2" s="1"/>
  <c r="T48" i="2"/>
  <c r="H26" i="2"/>
  <c r="AP2" i="2" s="1"/>
  <c r="J26" i="2"/>
  <c r="FA2" i="2" s="1"/>
  <c r="J2" i="2"/>
  <c r="K15" i="2"/>
  <c r="ED2" i="2" s="1"/>
  <c r="J15" i="2"/>
  <c r="EC2" i="2" s="1"/>
  <c r="S2" i="2"/>
  <c r="M17" i="2"/>
  <c r="EN2" i="2" s="1"/>
  <c r="K17" i="2"/>
  <c r="EL2" i="2" s="1"/>
  <c r="L17" i="2"/>
  <c r="EM2" i="2" s="1"/>
  <c r="J17" i="2"/>
  <c r="EK2" i="2" s="1"/>
  <c r="AH2" i="2"/>
  <c r="M20" i="2"/>
  <c r="EZ2" i="2" s="1"/>
  <c r="L20" i="2"/>
  <c r="EY2" i="2" s="1"/>
  <c r="J20" i="2"/>
  <c r="EW2" i="2" s="1"/>
  <c r="K20" i="2"/>
  <c r="EX2" i="2" s="1"/>
  <c r="AC2" i="2"/>
  <c r="M19" i="2"/>
  <c r="EV2" i="2" s="1"/>
  <c r="L19" i="2"/>
  <c r="EU2" i="2" s="1"/>
  <c r="K19" i="2"/>
  <c r="ET2" i="2" s="1"/>
  <c r="J19" i="2"/>
  <c r="ES2" i="2" s="1"/>
  <c r="N2" i="2"/>
  <c r="M16" i="2"/>
  <c r="EJ2" i="2" s="1"/>
  <c r="J16" i="2"/>
  <c r="EG2" i="2" s="1"/>
  <c r="L16" i="2"/>
  <c r="EI2" i="2" s="1"/>
  <c r="K16" i="2"/>
  <c r="EH2" i="2" s="1"/>
  <c r="M18" i="2"/>
  <c r="ER2" i="2" s="1"/>
  <c r="K18" i="2"/>
  <c r="EP2" i="2" s="1"/>
  <c r="J18" i="2"/>
  <c r="EO2" i="2" s="1"/>
  <c r="L18" i="2"/>
  <c r="EQ2" i="2" s="1"/>
  <c r="M15" i="2"/>
  <c r="EF2" i="2" s="1"/>
  <c r="L15" i="2"/>
  <c r="EE2" i="2" s="1"/>
  <c r="CO2" i="2"/>
  <c r="K41" i="2"/>
  <c r="GP2" i="2" s="1"/>
  <c r="J41" i="2"/>
  <c r="GO2" i="2" s="1"/>
  <c r="L41" i="2"/>
  <c r="GQ2" i="2" s="1"/>
  <c r="M41" i="2"/>
  <c r="GR2" i="2" s="1"/>
  <c r="CT2" i="2"/>
  <c r="M42" i="2"/>
  <c r="GV2" i="2" s="1"/>
  <c r="J42" i="2"/>
  <c r="GS2" i="2" s="1"/>
  <c r="K42" i="2"/>
  <c r="GT2" i="2" s="1"/>
  <c r="L42" i="2"/>
  <c r="GU2" i="2" s="1"/>
  <c r="BZ2" i="2"/>
  <c r="J38" i="2"/>
  <c r="GC2" i="2" s="1"/>
  <c r="K38" i="2"/>
  <c r="GD2" i="2" s="1"/>
  <c r="L38" i="2"/>
  <c r="GE2" i="2" s="1"/>
  <c r="M38" i="2"/>
  <c r="GF2" i="2" s="1"/>
  <c r="CE2" i="2"/>
  <c r="J39" i="2"/>
  <c r="GG2" i="2" s="1"/>
  <c r="K39" i="2"/>
  <c r="GH2" i="2" s="1"/>
  <c r="L39" i="2"/>
  <c r="GI2" i="2" s="1"/>
  <c r="M39" i="2"/>
  <c r="GJ2" i="2" s="1"/>
  <c r="CJ2" i="2"/>
  <c r="J40" i="2"/>
  <c r="GK2" i="2" s="1"/>
  <c r="M40" i="2"/>
  <c r="GN2" i="2" s="1"/>
  <c r="L40" i="2"/>
  <c r="GM2" i="2" s="1"/>
  <c r="K40" i="2"/>
  <c r="GL2" i="2" s="1"/>
  <c r="BN2" i="2"/>
  <c r="L31" i="2"/>
  <c r="FW2" i="2" s="1"/>
  <c r="J31" i="2"/>
  <c r="FU2" i="2" s="1"/>
  <c r="K31" i="2"/>
  <c r="FV2" i="2" s="1"/>
  <c r="M31" i="2"/>
  <c r="FX2" i="2" s="1"/>
  <c r="BI2" i="2"/>
  <c r="J30" i="2"/>
  <c r="FQ2" i="2" s="1"/>
  <c r="K30" i="2"/>
  <c r="FR2" i="2" s="1"/>
  <c r="L30" i="2"/>
  <c r="FS2" i="2" s="1"/>
  <c r="M30" i="2"/>
  <c r="FT2" i="2" s="1"/>
  <c r="BD2" i="2"/>
  <c r="M29" i="2"/>
  <c r="FP2" i="2" s="1"/>
  <c r="J29" i="2"/>
  <c r="FM2" i="2" s="1"/>
  <c r="K29" i="2"/>
  <c r="FN2" i="2" s="1"/>
  <c r="L29" i="2"/>
  <c r="FO2" i="2" s="1"/>
  <c r="J28" i="2"/>
  <c r="FI2" i="2" s="1"/>
  <c r="K28" i="2"/>
  <c r="FJ2" i="2" s="1"/>
  <c r="L28" i="2"/>
  <c r="FK2" i="2" s="1"/>
  <c r="M28" i="2"/>
  <c r="FL2" i="2" s="1"/>
  <c r="AT2" i="2"/>
  <c r="M27" i="2"/>
  <c r="FH2" i="2" s="1"/>
  <c r="L27" i="2"/>
  <c r="FG2" i="2" s="1"/>
  <c r="K27" i="2"/>
  <c r="FF2" i="2" s="1"/>
  <c r="J27" i="2"/>
  <c r="FE2" i="2" s="1"/>
  <c r="K26" i="2"/>
  <c r="FB2" i="2" s="1"/>
  <c r="L26" i="2"/>
  <c r="FC2" i="2" s="1"/>
  <c r="M26" i="2"/>
  <c r="FD2" i="2" s="1"/>
  <c r="DZ2" i="2"/>
  <c r="M53" i="2"/>
  <c r="HT2" i="2" s="1"/>
  <c r="HS2" i="2"/>
  <c r="K53" i="2"/>
  <c r="HR2" i="2" s="1"/>
  <c r="DU2" i="2"/>
  <c r="M52" i="2"/>
  <c r="HP2" i="2" s="1"/>
  <c r="L52" i="2"/>
  <c r="HO2" i="2" s="1"/>
  <c r="K52" i="2"/>
  <c r="HN2" i="2" s="1"/>
  <c r="DK2" i="2"/>
  <c r="L50" i="2"/>
  <c r="HG2" i="2" s="1"/>
  <c r="M50" i="2"/>
  <c r="HH2" i="2" s="1"/>
  <c r="K50" i="2"/>
  <c r="HF2" i="2" s="1"/>
  <c r="DA2" i="2"/>
  <c r="K48" i="2"/>
  <c r="GX2" i="2" s="1"/>
  <c r="M48" i="2"/>
  <c r="GZ2" i="2" s="1"/>
  <c r="L48" i="2"/>
  <c r="GY2" i="2" s="1"/>
  <c r="DP2" i="2"/>
  <c r="K51" i="2"/>
  <c r="HJ2" i="2" s="1"/>
  <c r="L51" i="2"/>
  <c r="HK2" i="2" s="1"/>
  <c r="M51" i="2"/>
  <c r="HL2" i="2" s="1"/>
  <c r="DF2" i="2"/>
  <c r="M49" i="2"/>
  <c r="HD2" i="2" s="1"/>
  <c r="L49" i="2"/>
  <c r="HC2" i="2" s="1"/>
  <c r="K49" i="2"/>
  <c r="HB2" i="2" s="1"/>
  <c r="BU2" i="2"/>
  <c r="M37" i="2"/>
  <c r="GB2" i="2" s="1"/>
  <c r="J37" i="2"/>
  <c r="FY2" i="2" s="1"/>
  <c r="K37" i="2"/>
  <c r="FZ2" i="2" s="1"/>
  <c r="L37" i="2"/>
  <c r="GA2" i="2" s="1"/>
  <c r="AO2" i="2"/>
  <c r="X2" i="2"/>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2">
    <bk>
      <extLst>
        <ext uri="{3e2802c4-a4d2-4d8b-9148-e3be6c30e623}">
          <xlrd:rvb i="0"/>
        </ext>
      </extLst>
    </bk>
    <bk>
      <extLst>
        <ext uri="{3e2802c4-a4d2-4d8b-9148-e3be6c30e623}">
          <xlrd:rvb i="1"/>
        </ext>
      </extLst>
    </bk>
  </futureMetadata>
  <cellMetadata count="1">
    <bk>
      <rc t="1" v="0"/>
    </bk>
  </cellMetadata>
  <valueMetadata count="2">
    <bk>
      <rc t="2" v="0"/>
    </bk>
    <bk>
      <rc t="2" v="1"/>
    </bk>
  </valueMetadata>
</metadata>
</file>

<file path=xl/sharedStrings.xml><?xml version="1.0" encoding="utf-8"?>
<sst xmlns="http://schemas.openxmlformats.org/spreadsheetml/2006/main" count="1463" uniqueCount="728">
  <si>
    <t>Project Name</t>
  </si>
  <si>
    <t>Countries</t>
  </si>
  <si>
    <t>Start Date</t>
  </si>
  <si>
    <t>End Date</t>
  </si>
  <si>
    <t>Date1</t>
  </si>
  <si>
    <t>Place1</t>
  </si>
  <si>
    <t>D1Time1</t>
  </si>
  <si>
    <t>D1Type1</t>
  </si>
  <si>
    <t>D1Investor1</t>
  </si>
  <si>
    <t>D1participant1</t>
  </si>
  <si>
    <t>D1address1</t>
  </si>
  <si>
    <t>D1Time2</t>
  </si>
  <si>
    <t>D1Type2</t>
  </si>
  <si>
    <t>D1Investor2</t>
  </si>
  <si>
    <t>D1participant2</t>
  </si>
  <si>
    <t>D1address2</t>
  </si>
  <si>
    <t>D1Time3</t>
  </si>
  <si>
    <t>D1Type3</t>
  </si>
  <si>
    <t>D1Investor3</t>
  </si>
  <si>
    <t>D1participant3</t>
  </si>
  <si>
    <t>D1address3</t>
  </si>
  <si>
    <t>D1Time4</t>
  </si>
  <si>
    <t>D1Type4</t>
  </si>
  <si>
    <t>D1Investor4</t>
  </si>
  <si>
    <t>D1participant4</t>
  </si>
  <si>
    <t>D1address4</t>
  </si>
  <si>
    <t>D1Time5</t>
  </si>
  <si>
    <t>D1Type5</t>
  </si>
  <si>
    <t>D1Investor5</t>
  </si>
  <si>
    <t>D1participant5</t>
  </si>
  <si>
    <t>D1address5</t>
  </si>
  <si>
    <t>D1Time6</t>
  </si>
  <si>
    <t>D1Type6</t>
  </si>
  <si>
    <t>D1Investor6</t>
  </si>
  <si>
    <t>D1participant6</t>
  </si>
  <si>
    <t>D1address6</t>
  </si>
  <si>
    <t>Date2</t>
  </si>
  <si>
    <t>Place2</t>
  </si>
  <si>
    <t>D2Time1</t>
  </si>
  <si>
    <t>D2Type1</t>
  </si>
  <si>
    <t>D2Investor1</t>
  </si>
  <si>
    <t>D2participant1</t>
  </si>
  <si>
    <t>D2address1</t>
  </si>
  <si>
    <t>D2Time2</t>
  </si>
  <si>
    <t>D2Type2</t>
  </si>
  <si>
    <t>D2Investor2</t>
  </si>
  <si>
    <t>D2participant2</t>
  </si>
  <si>
    <t>D2address2</t>
  </si>
  <si>
    <t>D2Time3</t>
  </si>
  <si>
    <t>D2Type3</t>
  </si>
  <si>
    <t>D2Investor3</t>
  </si>
  <si>
    <t>D2participant3</t>
  </si>
  <si>
    <t>D2address3</t>
  </si>
  <si>
    <t>D2Time4</t>
  </si>
  <si>
    <t>D2Type4</t>
  </si>
  <si>
    <t>D2Investor4</t>
  </si>
  <si>
    <t>D2participant4</t>
  </si>
  <si>
    <t>D2address4</t>
  </si>
  <si>
    <t>D2Time5</t>
  </si>
  <si>
    <t>D2Type5</t>
  </si>
  <si>
    <t>D2Investor5</t>
  </si>
  <si>
    <t>D2participant5</t>
  </si>
  <si>
    <t>D2address5</t>
  </si>
  <si>
    <t>D2Time6</t>
  </si>
  <si>
    <t>D2Type6</t>
  </si>
  <si>
    <t>D2Investor6</t>
  </si>
  <si>
    <t>D2participant6</t>
  </si>
  <si>
    <t>D2address6</t>
  </si>
  <si>
    <t>Date3</t>
  </si>
  <si>
    <t>Place3</t>
  </si>
  <si>
    <t>D3Time1</t>
  </si>
  <si>
    <t>D3Type1</t>
  </si>
  <si>
    <t>D3Investor1</t>
  </si>
  <si>
    <t>D3participant1</t>
  </si>
  <si>
    <t>D3address1</t>
  </si>
  <si>
    <t>D3Time2</t>
  </si>
  <si>
    <t>D3Type2</t>
  </si>
  <si>
    <t>D3Investor2</t>
  </si>
  <si>
    <t>D3participant2</t>
  </si>
  <si>
    <t>D3address2</t>
  </si>
  <si>
    <t>D3Time3</t>
  </si>
  <si>
    <t>D3Type3</t>
  </si>
  <si>
    <t>D3Investor3</t>
  </si>
  <si>
    <t>D3participant3</t>
  </si>
  <si>
    <t>D3address3</t>
  </si>
  <si>
    <t>D3Time4</t>
  </si>
  <si>
    <t>D3Type4</t>
  </si>
  <si>
    <t>D3Investor4</t>
  </si>
  <si>
    <t>D3participant4</t>
  </si>
  <si>
    <t>D3address4</t>
  </si>
  <si>
    <t>D3Time5</t>
  </si>
  <si>
    <t>D3Type5</t>
  </si>
  <si>
    <t>D3Investor5</t>
  </si>
  <si>
    <t>D3participant5</t>
  </si>
  <si>
    <t>D3address5</t>
  </si>
  <si>
    <t>D3Time6</t>
  </si>
  <si>
    <t>D3Type6</t>
  </si>
  <si>
    <t>D3Investor6</t>
  </si>
  <si>
    <t>D3participant6</t>
  </si>
  <si>
    <t>D3address6</t>
  </si>
  <si>
    <t>Date4</t>
  </si>
  <si>
    <t>Place4</t>
  </si>
  <si>
    <t>D4Time1</t>
  </si>
  <si>
    <t>D4Type1</t>
  </si>
  <si>
    <t>D4Investor1</t>
  </si>
  <si>
    <t>D4participant1</t>
  </si>
  <si>
    <t>D4address1</t>
  </si>
  <si>
    <t>D4Time2</t>
  </si>
  <si>
    <t>D4Type2</t>
  </si>
  <si>
    <t>D4Investor2</t>
  </si>
  <si>
    <t>D4participant2</t>
  </si>
  <si>
    <t>D4address2</t>
  </si>
  <si>
    <t>D4Time3</t>
  </si>
  <si>
    <t>D4Type3</t>
  </si>
  <si>
    <t>D4Investor3</t>
  </si>
  <si>
    <t>D4participant3</t>
  </si>
  <si>
    <t>D4address3</t>
  </si>
  <si>
    <t>D4Time4</t>
  </si>
  <si>
    <t>D4Type4</t>
  </si>
  <si>
    <t>D4Investor4</t>
  </si>
  <si>
    <t>D4participant4</t>
  </si>
  <si>
    <t>D4address4</t>
  </si>
  <si>
    <t>D4Time5</t>
  </si>
  <si>
    <t>D4Type5</t>
  </si>
  <si>
    <t>D4Investor5</t>
  </si>
  <si>
    <t>D4participant5</t>
  </si>
  <si>
    <t>D4address5</t>
  </si>
  <si>
    <t>D4Time6</t>
  </si>
  <si>
    <t>D4Type6</t>
  </si>
  <si>
    <t>D4Investor6</t>
  </si>
  <si>
    <t>D4participant6</t>
  </si>
  <si>
    <t>D4address6</t>
  </si>
  <si>
    <t>D1Investor1Type</t>
  </si>
  <si>
    <t>D1Investor1Aum</t>
  </si>
  <si>
    <t>D1Investor1overview</t>
  </si>
  <si>
    <t>D1Investor1Cornerstone</t>
  </si>
  <si>
    <t>D1Investor2Type</t>
  </si>
  <si>
    <t>D1Investor2Aum</t>
  </si>
  <si>
    <t>D1Investor2overview</t>
  </si>
  <si>
    <t>D1Investor2Cornerstone</t>
  </si>
  <si>
    <t>D1Investor3Type</t>
  </si>
  <si>
    <t>D1Investor3Aum</t>
  </si>
  <si>
    <t>D1Investor3overview</t>
  </si>
  <si>
    <t>D1Investor3Cornerstone</t>
  </si>
  <si>
    <t>D1Investor4Type</t>
  </si>
  <si>
    <t>D1Investor4Aum</t>
  </si>
  <si>
    <t>D1Investor4overview</t>
  </si>
  <si>
    <t>D1Investor4Cornerstone</t>
  </si>
  <si>
    <t>D1Investor5Type</t>
  </si>
  <si>
    <t>D1Investor5Aum</t>
  </si>
  <si>
    <t>D1Investor5overview</t>
  </si>
  <si>
    <t>D1Investor5Cornerstone</t>
  </si>
  <si>
    <t>D1Investor6Type</t>
  </si>
  <si>
    <t>D1Investor6Aum</t>
  </si>
  <si>
    <t>D1Investor6overview</t>
  </si>
  <si>
    <t>D1Investor6Cornerstone</t>
  </si>
  <si>
    <t>D2Investor1Type</t>
  </si>
  <si>
    <t>D2Investor1Aum</t>
  </si>
  <si>
    <t>D2Investor1overview</t>
  </si>
  <si>
    <t>D2Investor1Cornerstone</t>
  </si>
  <si>
    <t>D2Investor2Type</t>
  </si>
  <si>
    <t>D2Investor2Aum</t>
  </si>
  <si>
    <t>D2Investor2overview</t>
  </si>
  <si>
    <t>D2Investor2Cornerstone</t>
  </si>
  <si>
    <t>D2Investor3Type</t>
  </si>
  <si>
    <t>D2Investor3Aum</t>
  </si>
  <si>
    <t>D2Investor3overview</t>
  </si>
  <si>
    <t>D2Investor3Cornerstone</t>
  </si>
  <si>
    <t>D2Investor4Type</t>
  </si>
  <si>
    <t>D2Investor4Aum</t>
  </si>
  <si>
    <t>D2Investor4overview</t>
  </si>
  <si>
    <t>D2Investor4Cornerstone</t>
  </si>
  <si>
    <t>D2Investor5Type</t>
  </si>
  <si>
    <t>D2Investor5Aum</t>
  </si>
  <si>
    <t>D2Investor5overview</t>
  </si>
  <si>
    <t>D2Investor5Cornerstone</t>
  </si>
  <si>
    <t>D2Investor6Type</t>
  </si>
  <si>
    <t>D2Investor6Aum</t>
  </si>
  <si>
    <t>D2Investor6overview</t>
  </si>
  <si>
    <t>D2Investor6Cornerstone</t>
  </si>
  <si>
    <t>D3Investor1Type</t>
  </si>
  <si>
    <t>D3Investor1Aum</t>
  </si>
  <si>
    <t>D3Investor1overview</t>
  </si>
  <si>
    <t>D3Investor1Cornerstone</t>
  </si>
  <si>
    <t>D3Investor2Type</t>
  </si>
  <si>
    <t>D3Investor2Aum</t>
  </si>
  <si>
    <t>D3Investor2overview</t>
  </si>
  <si>
    <t>D3Investor2Cornerstone</t>
  </si>
  <si>
    <t>D3Investor3Type</t>
  </si>
  <si>
    <t>D3Investor3Aum</t>
  </si>
  <si>
    <t>D3Investor3overview</t>
  </si>
  <si>
    <t>D3Investor3Cornerstone</t>
  </si>
  <si>
    <t>D3Investor4Type</t>
  </si>
  <si>
    <t>D3Investor4Aum</t>
  </si>
  <si>
    <t>D3Investor4overview</t>
  </si>
  <si>
    <t>D3Investor4Cornerstone</t>
  </si>
  <si>
    <t>D3Investor5Type</t>
  </si>
  <si>
    <t>D3Investor5Aum</t>
  </si>
  <si>
    <t>D3Investor5overview</t>
  </si>
  <si>
    <t>D3Investor5Cornerstone</t>
  </si>
  <si>
    <t>D3Investor6Type</t>
  </si>
  <si>
    <t>D3Investor6Aum</t>
  </si>
  <si>
    <t>D3Investor6overview</t>
  </si>
  <si>
    <t>D3Investor6Cornerstone</t>
  </si>
  <si>
    <t>D4Investor1Type</t>
  </si>
  <si>
    <t>D4Investor1Aum</t>
  </si>
  <si>
    <t>D4Investor1overview</t>
  </si>
  <si>
    <t>D4Investor1Cornerstone</t>
  </si>
  <si>
    <t>D4Investor2Type</t>
  </si>
  <si>
    <t>D4Investor2Aum</t>
  </si>
  <si>
    <t>D4Investor2overview</t>
  </si>
  <si>
    <t>D4Investor2Cornerstone</t>
  </si>
  <si>
    <t>D4Investor3Type</t>
  </si>
  <si>
    <t>D4Investor3Aum</t>
  </si>
  <si>
    <t>D4Investor3overview</t>
  </si>
  <si>
    <t>D4Investor3Cornerstone</t>
  </si>
  <si>
    <t>D4Investor4Type</t>
  </si>
  <si>
    <t>D4Investor4Aum</t>
  </si>
  <si>
    <t>D4Investor4overview</t>
  </si>
  <si>
    <t>D4Investor4Cornerstone</t>
  </si>
  <si>
    <t>D4Investor5Type</t>
  </si>
  <si>
    <t>D4Investor5Aum</t>
  </si>
  <si>
    <t>D4Investor5overview</t>
  </si>
  <si>
    <t>D4Investor5Cornerstone</t>
  </si>
  <si>
    <t>D4Investor6Type</t>
  </si>
  <si>
    <t>D4Investor6Aum</t>
  </si>
  <si>
    <t>D4Investor6overview</t>
  </si>
  <si>
    <t>D4Investor6Cornerstone</t>
  </si>
  <si>
    <t>P.1</t>
  </si>
  <si>
    <t>P.3</t>
  </si>
  <si>
    <t xml:space="preserve">Time </t>
  </si>
  <si>
    <t>Type1.1</t>
  </si>
  <si>
    <t>Type1.2</t>
  </si>
  <si>
    <t>Type1.3</t>
  </si>
  <si>
    <t>participant</t>
  </si>
  <si>
    <t>address</t>
  </si>
  <si>
    <t>InvestorType</t>
  </si>
  <si>
    <t>AUM</t>
  </si>
  <si>
    <t>Company Overview</t>
  </si>
  <si>
    <t>1对1</t>
  </si>
  <si>
    <t>线下会议</t>
  </si>
  <si>
    <t>中文</t>
  </si>
  <si>
    <t>12:30-14:00</t>
  </si>
  <si>
    <t>14:30-15:30</t>
  </si>
  <si>
    <t>16:00-17:00</t>
  </si>
  <si>
    <t>p.4</t>
  </si>
  <si>
    <t>p.5</t>
  </si>
  <si>
    <t>p.6</t>
  </si>
  <si>
    <t>Citadel</t>
  </si>
  <si>
    <t>信庭</t>
  </si>
  <si>
    <t>1对1
线下会议
中文</t>
  </si>
  <si>
    <t>私募股权</t>
  </si>
  <si>
    <t>多策略基金</t>
  </si>
  <si>
    <t>中资长线</t>
  </si>
  <si>
    <t>中银航空租赁、国联证券、联想控股、三生制药</t>
  </si>
  <si>
    <t>Investor Database 总表</t>
  </si>
  <si>
    <t>序号</t>
  </si>
  <si>
    <t>更新时间</t>
  </si>
  <si>
    <t>机构名称（中文）</t>
  </si>
  <si>
    <t>机构名称（英文）</t>
  </si>
  <si>
    <t>投资者类型</t>
  </si>
  <si>
    <t>投资人简介</t>
  </si>
  <si>
    <t>过往投资港股基石案例</t>
  </si>
  <si>
    <t>其他投资案例</t>
  </si>
  <si>
    <t>联系人</t>
  </si>
  <si>
    <t>地址</t>
  </si>
  <si>
    <t>官网</t>
  </si>
  <si>
    <t>投资案例 网站</t>
  </si>
  <si>
    <t>其他补充资料</t>
  </si>
  <si>
    <t>投资人风格</t>
  </si>
  <si>
    <t>云顶新耀-B</t>
  </si>
  <si>
    <t>Julia Tsai（分析师）</t>
  </si>
  <si>
    <t>Cithara</t>
  </si>
  <si>
    <t>Justin Zhang（创始人）
王辉（董事总经理）</t>
  </si>
  <si>
    <t>中环花园道 3 号中国工商银行大厦 36 楼 3607-08室</t>
  </si>
  <si>
    <t>超过20亿人民币</t>
  </si>
  <si>
    <t>宁德时代、美的集团、海天味业、先瑞达医疗-B、毛戈平</t>
  </si>
  <si>
    <t>德邵基金</t>
  </si>
  <si>
    <t>新华保险、海通证券</t>
  </si>
  <si>
    <t>易亚投资</t>
  </si>
  <si>
    <t>EIP</t>
  </si>
  <si>
    <t>壁仞科技</t>
  </si>
  <si>
    <t>Jason Jiang
（基金经理）
Gin Tian
（投资经理）</t>
  </si>
  <si>
    <t>中环雪厂街10号新显利大厦337室</t>
  </si>
  <si>
    <t>40亿美元</t>
  </si>
  <si>
    <t>Factorial</t>
  </si>
  <si>
    <t>迅策</t>
  </si>
  <si>
    <t>Kyle Chan（投资经理）</t>
  </si>
  <si>
    <t>中环安庆台1号安庆大厦12楼</t>
  </si>
  <si>
    <t>20亿美元</t>
  </si>
  <si>
    <t>Ghisallo</t>
  </si>
  <si>
    <t>顺丰控股、华润饮料</t>
  </si>
  <si>
    <t>Ho Kun Lin 
（ECM业务负责人）
Philippe Ziegler
（基金经理）
Vivian Lau
（资深分析师）</t>
  </si>
  <si>
    <t>60亿美元</t>
  </si>
  <si>
    <t>Jump Trading</t>
  </si>
  <si>
    <t>中环港景街 1 号国际金融中心 1 期 20 楼 2002 室</t>
  </si>
  <si>
    <t>3.1亿美元</t>
  </si>
  <si>
    <t>Matrix Capital</t>
  </si>
  <si>
    <t>Matrix Capital以自有资金及所管理的股权基金为依托，聚焦大中华区具有长期增长潜力、行业领头地位及独特竞争优势的企业，核心投资领域涵盖高科技、新经济、医疗健康及大消费等行业。作为投资人，其近期在港股 IPO 市场表现活跃，重点关注新经济、大消费等领域，并参与了多个项目的锚定投资。其资产管理规模约10亿美元</t>
  </si>
  <si>
    <t>梦金园</t>
  </si>
  <si>
    <t>MSIM</t>
  </si>
  <si>
    <t>Marvin Tang (基金经理），Richard Guan (研究员）</t>
  </si>
  <si>
    <t>超10亿美元</t>
  </si>
  <si>
    <t>兰馨亚洲</t>
  </si>
  <si>
    <t>Orchid Asia</t>
  </si>
  <si>
    <t>宁德时代、九方财富、Vesync、合景悠活、宝龙商业、九方智投控股、华夏控股、天喔国际、时计宝、唐宫中国</t>
  </si>
  <si>
    <t>深圳市福田区福田街道福华一路111号招商证券大厦22楼</t>
  </si>
  <si>
    <t>约60亿美元</t>
  </si>
  <si>
    <t>柏骏资本</t>
  </si>
  <si>
    <t>Polymer Capital</t>
  </si>
  <si>
    <t>Hillman Wong
（资本市场负责人）
Elaine Wang
（ECM董事）
Andy Kung
（基金经理）</t>
  </si>
  <si>
    <t>燕之屋、泉峰控股、信达生物-B、希望教育、天立教育、中教控股、东方证券、中金公司、中国再保险、联想控股、HTSC</t>
  </si>
  <si>
    <t>操礼艳（投资总监）</t>
  </si>
  <si>
    <t>Viridian</t>
  </si>
  <si>
    <t>Heidi Hung (head of research)</t>
  </si>
  <si>
    <t>WT AM</t>
  </si>
  <si>
    <t>安澜资本</t>
  </si>
  <si>
    <t>Anlan Capital</t>
  </si>
  <si>
    <t>淡水泉</t>
  </si>
  <si>
    <t>Spring Capital</t>
  </si>
  <si>
    <t>远洋服务</t>
  </si>
  <si>
    <t>赵军（创始人）</t>
  </si>
  <si>
    <t>瑞橡资本</t>
  </si>
  <si>
    <t>Oakwise Capital</t>
  </si>
  <si>
    <t>香港中環干諾道中1號友邦金融中心32樓</t>
  </si>
  <si>
    <t>嘉实基金</t>
  </si>
  <si>
    <t>Harvest Fund</t>
  </si>
  <si>
    <t>张辛洋（合伙人）
陆宁（基金经理）</t>
  </si>
  <si>
    <t>北京市朝阳区光华路 1 号北京嘉里中心北楼 31 层</t>
  </si>
  <si>
    <t>庄涛（创始人）</t>
  </si>
  <si>
    <t>地方产业基金</t>
  </si>
  <si>
    <t>天壹资本的创始团队来自易方达股权投资部门，主要做一、二级市场股权投资，总在管资金规模约500亿，关注新能源、半导体、医疗等领域的投资机会
过往曾投资百余家企业，包括理想汽车、欣旺达动力电池、比亚迪半导体、地平线、芯驰等汽车和新能源产业链企业，华勤、集创北方、奕斯伟计算、思特威、百度昆仑等电子及半导体公司，京东健康、拼多多等平台型企业。资产管理规模约500亿人民币</t>
  </si>
  <si>
    <t>唐萌(创始人）</t>
  </si>
  <si>
    <t>新华资管</t>
  </si>
  <si>
    <t>New China AM</t>
  </si>
  <si>
    <t>奕图资本</t>
  </si>
  <si>
    <t>Y2 Capital</t>
  </si>
  <si>
    <t>黄正初 （董事总经理）</t>
  </si>
  <si>
    <t>雅润投资</t>
  </si>
  <si>
    <t>Yield Royal</t>
  </si>
  <si>
    <t>陈小栋（董事总经理兼证券市场部总经理）
吴博（执行董事）</t>
  </si>
  <si>
    <t>正心谷</t>
  </si>
  <si>
    <t>Loyal Valley Capital</t>
  </si>
  <si>
    <t>正心谷资本于2015年成立，名字源于 “Loyal to our heart”，寓意 “正心诚意，虚怀若谷” 。秉持 “长期、专注、利他” 投资价值观，致力于打造优秀投资研究与投后管理团队 。其投资覆盖新消费、医疗健康、现代金融、科技制造等领域，涉及早期、风险、私募股权、上市公司及并购投资各阶段 。管理规模超500亿人民币，投资超110个股权项目，投资案例包括字节跳动、哔哩哔哩、泡泡玛特、君实生物、中控技术等知名企业。</t>
  </si>
  <si>
    <t>维立志博-B</t>
  </si>
  <si>
    <t>陈晓宇（董事总经理）</t>
  </si>
  <si>
    <t>券商自营</t>
  </si>
  <si>
    <t>梁昌支（高级副总裁）
张咏梅（高级副总裁）</t>
  </si>
  <si>
    <t>约4,949亿人民币</t>
  </si>
  <si>
    <t>闫永清（投资经理）</t>
  </si>
  <si>
    <t>D.E. Shaw</t>
  </si>
  <si>
    <t>企业投资者</t>
  </si>
  <si>
    <t>Andy Scott
（亚太资本市场负责人，基金经理）
Dave Yin
（投资分析师）</t>
  </si>
  <si>
    <t>政府平台</t>
  </si>
  <si>
    <t/>
  </si>
  <si>
    <t>Investor_CN</t>
  </si>
  <si>
    <t>Investor_EN</t>
  </si>
  <si>
    <t>Type2.1</t>
  </si>
  <si>
    <t>Type2.2</t>
  </si>
  <si>
    <t>Type2.3</t>
  </si>
  <si>
    <t>Type3.1</t>
  </si>
  <si>
    <t>Type3.2</t>
  </si>
  <si>
    <t>Type3.3</t>
  </si>
  <si>
    <t>Type4.1</t>
  </si>
  <si>
    <t>Type4.2</t>
  </si>
  <si>
    <t>Type4.3</t>
  </si>
  <si>
    <t>Investor_CN/EN</t>
  </si>
  <si>
    <t>Cornerstone</t>
  </si>
  <si>
    <t>未进行</t>
  </si>
  <si>
    <t>已结束</t>
  </si>
  <si>
    <t>投资者名称_中文</t>
  </si>
  <si>
    <t>投资者名称_英文</t>
  </si>
  <si>
    <t>排序</t>
  </si>
  <si>
    <t>路演日期</t>
  </si>
  <si>
    <t>会议地点</t>
  </si>
  <si>
    <t>会议地址</t>
  </si>
  <si>
    <t>会议类型</t>
  </si>
  <si>
    <t>状态</t>
  </si>
  <si>
    <t>投资者出席人</t>
  </si>
  <si>
    <t>现场反馈</t>
  </si>
  <si>
    <t>下一步工作计划</t>
  </si>
  <si>
    <t>意向订单</t>
  </si>
  <si>
    <t>备注</t>
  </si>
  <si>
    <t>D1Type1.1</t>
  </si>
  <si>
    <t>D2Type1.1</t>
  </si>
  <si>
    <t>D3Type1.1</t>
  </si>
  <si>
    <t>D4Type1.1</t>
  </si>
  <si>
    <t>1x1
中文</t>
  </si>
  <si>
    <t>D1Type2.1</t>
  </si>
  <si>
    <t>D1Type3.1</t>
  </si>
  <si>
    <t>D1Type4.1</t>
  </si>
  <si>
    <t>D1Type5.1</t>
  </si>
  <si>
    <t>D1Type6.1</t>
  </si>
  <si>
    <t>D2Type2.1</t>
  </si>
  <si>
    <t>D2Type3.1</t>
  </si>
  <si>
    <t>D2Type4.1</t>
  </si>
  <si>
    <t>D2Type5.1</t>
  </si>
  <si>
    <t>D2Type6.1</t>
  </si>
  <si>
    <t>D3Type2.1</t>
  </si>
  <si>
    <t>D3Type3.1</t>
  </si>
  <si>
    <t>D3Type4.1</t>
  </si>
  <si>
    <t>D3Type5.1</t>
  </si>
  <si>
    <t>D3Type6.1</t>
  </si>
  <si>
    <t>D4Type2.1</t>
  </si>
  <si>
    <t>D4Type3.1</t>
  </si>
  <si>
    <t>D4Type4.1</t>
  </si>
  <si>
    <t>D4Type5.1</t>
  </si>
  <si>
    <t>D4Type6.1</t>
  </si>
  <si>
    <t>其他意向</t>
  </si>
  <si>
    <r>
      <rPr>
        <sz val="10"/>
        <color theme="1"/>
        <rFont val="Arial"/>
        <family val="2"/>
      </rPr>
      <t xml:space="preserve">CMS </t>
    </r>
    <r>
      <rPr>
        <sz val="10"/>
        <color theme="1"/>
        <rFont val="KaiTi"/>
        <charset val="134"/>
      </rPr>
      <t>对接部门</t>
    </r>
  </si>
  <si>
    <t>Raw Feedback</t>
  </si>
  <si>
    <t>信庭（Cithara）是一家资产管理公司。 通过提供定制的投资和融资解决方案满足各种客户的需求。其涵盖各种资产类别，如固定收益，股票，外汇，商品，衍生品和私募/创投基金。 投资策略包括但不限于绝对收益，固定收益，收益增强，特殊情况以及风险/估值套利。 除二级市场外，信庭还通过组合型基金和单一项目联合的形式进行投资，重点布局科技（含电讯基础设施）及医疗健康领域的私募股权标的。管理资产超过20亿人民币</t>
  </si>
  <si>
    <t>源峰（CPE）是一家具有国际视野和丰富中国经验的资产管理机构，专注为科技与工业、医疗与健康、消费、基础设施等四大重点领域的龙头企业提供创新性的投资方案。目前，CPE源峰在管基金已获得海内外200多家机构投资者的信任与支持，累计资产管理规模超过1800亿元。在过去十余年投资超过300家企业，积累了深刻的行业洞察和广泛的资源网络。‌CPE源峰投资了多家知名企业，包括元气森林、小鹏汽车、纯米科技、华大智造、Oatly、毛戈平化妆品等。通过完善的投研体系和专业的投后管理能力，CPE源峰致力与被投企业建立长期合作伙伴关系，推动被投企业所处行业的整体发展，创造积极的社会影响。</t>
  </si>
  <si>
    <t>易亚投资（EIP）成立于2002年，总部位于香港，专注于亚太地区的投资机会。EIP主要聚焦亚太地区高流动性市场（如港股、A股互联互通标的）及结构性衍生品（如期权、期货套利），并涉足区域新兴市场的量化策略开发，尤其在波动率管理和事件驱动型交易中展现优势。其资产管理规模超40亿美元</t>
  </si>
  <si>
    <t>Factorial是一家总部位于香港的对冲基金管理公司，由Barun Agarwal于2011年创立，专注于泛亚洲多策略投资，以长期稳定收益为核心目标，强调市场调研和行业研究等投资逻辑，偏爱有清晰增长潜力的优质标的。以多空股票策略为主，结合事件驱动与宏观对冲，重点捕捉亚太地区的结构性机会</t>
  </si>
  <si>
    <t>Ghisallo是一家总部位于马萨诸塞州波士顿的对冲基金，专注于全球投资。他们采用多学科方法，并利用各种策略，包括全球宏观、多头/空头股票、信贷、不良信贷、事件驱动和相对价值投资。Ghisallo采取长短仓策略配置资产、分散风险，但同样注重公司基本面，在投资过程中会采用自下而上的方法对公司进行研究分析，并看重与管理层会面直接沟通探讨，是中国IPO市场最活跃的对冲基金之一 该公司最近在香港设立了办事处，并积极扩大其在亚太地区的业务。Ghisallo的资产管理规模为80亿美元</t>
  </si>
  <si>
    <t>Jump Trading成立于 1999年，是一家专注于算法交易和高频交易策略的专营交易公司，活跃于全球期货、期权、加密货币和股票市场。研究人员、工程师和交易员并肩工作，将想法从概念转化为实际产品，兼具科学思维和快速、专注的迭代效率。公司的机器学习和人工智能专家直接与交易团队合作，专注于特定市场。Jump Trading积极关注港股市场投资机会，近期频繁参与A to H上市项目的基石投资，其重点布局领域包括消费与 TMT 赛道。</t>
  </si>
  <si>
    <t>摩根士丹利投资管理</t>
  </si>
  <si>
    <t>Oasis Management</t>
  </si>
  <si>
    <t>兰馨亚洲（Orchid Asia）成立于1993年，是首批投资中国的国际私募股权机构之一，公司在香港、上海、北京和广州等地均设有办公室。兰馨亚洲投资集团帮助拥有丰富管理经验的人才在亚洲地区，特别是中国，建立成功的商业模式。兰馨亚洲投资集团主要投资于具有持续增长潜力、高进入壁垒并处于扩张期的消费产品及服务行业、高新科技、医疗和外包制造服务业。目前，其资产管理规模为60多亿美元。</t>
  </si>
  <si>
    <t>柏骏资本（Polymer Capital）成立于2019年9月，是太盟投资集团（PAG）旗下专注亚太市场的多管理人对冲基金平台，构建市场中立的流动性证券投资体系。公司通过聚合顶尖投资人才与精细化风险控制引擎的双轮驱动模式，在股票多空、统计套利及事件驱动等多元策略维度，为机构投资者提供低波动、高夏普比率的绝对收益解决方案。目前资产管理规模约500亿美元</t>
  </si>
  <si>
    <t>淡马锡（Temasek）成立于1974年，是总部位于新加坡的国际投资公司，由新加坡政府财务部全资拥有，是新加坡规模最大的主权基金之一，资产管理规模达3,000亿美元，中国市场占其投资组合的22%。其对大中华区企业有浓厚兴趣，投资组合涵盖广泛的行业领域，包括TMT、消费等</t>
  </si>
  <si>
    <t>惠理基金（Value Partners）成立于 1993 年，是亚洲最大的独立资产管理公司之一，集团总部位于香港，在上海、深圳、北京、吉隆坡、新加坡及伦敦均设有办事处，长期为全球机构及个人投资者提供专业服务，以价值投资为核心策略，重点关注大中华区及亚洲市场。管理资产 62 亿美元</t>
  </si>
  <si>
    <t>Viridian是亚洲市场活跃度较高的对冲基金，由前 Segantii 基金经理 Pascal Guttieres 于 2024 年创立。其投资聚焦亚洲股票市场及基本面优质、具备成长性的企业，覆盖 IPO、大宗交易（Block Trade）、可转债（CB）等多元产品。公司是港股IPO最活跃的投资人之一，关注新经济、高科技、大健康、大消费等项目，参与众多项目的锚定投资。其资产管理规模约2亿美元</t>
  </si>
  <si>
    <t>淡水泉（Spring Capital）成立于 2007 年，是中国领先的私募证券基金管理人之一。公司聚焦中国相关的投资机会，同时开展国内私募证券投资、海外对冲基金和机构专户业务，致力于以不断进化的组织能力，为客户实现长期可持续的价值。淡水泉的投资哲学是挖掘长期价值，坚持基本面为导向的投资，偏好那些具有优秀公司治理、可被证明的过往经营管理能力的公司，寻找与市场对企业基本面的预期差异。资产管理规模约为66亿美元</t>
  </si>
  <si>
    <t>瑞橡资本（Oakwise Capital）是一家在香港证监会注册的资产管理公司，2018年由王风雨博士创立。公司秉承“诚信、专业、稳健、创新”的理念，致力于成为一家风格稳健、业绩优秀、值得信赖的创新型资产管理公司，为机构投资人及高净值人士提供一站式资产管理服务。公司的使命是“投资改变未来”，提供基金、专户及家族办公室等一系列产品及服务，专注投资于大中华地区。客户涵盖央企、城投、金融机构、上市公司、家族办公室及高净值个人等各类投资者。2021年，其资产规模超20亿美元。</t>
  </si>
  <si>
    <t>上海盘京是中国资本市场的新锐投资力量，成立于2016年，目前已经成为境内知名百亿私募。投研团队由资深投资人士庄涛和陈勤领衔，公司的核心人物庄涛具有多年证券投资经验，曾担任中信产业基金董事总经理、华商基金投资总监等职务。公司投资领域覆盖TMT、金融&amp;地产、消费&amp;医药、电新&amp;制造业、能源化工&amp;周期品等。</t>
  </si>
  <si>
    <t>润晖（Cephei）是一家专注于中国市场的资产管理公司，拥有十六年的中国资本市场投资业绩和二十多年的中国市场经验，管理规模近500亿人民币，产品包括全收益策略和相对收益策略，于2021年、2022年连续两年荣获三年期金牛海外私募管理公司奖。润晖投资受中国证监会、香港证监会、美国证券交易委员会和加拿大安大略省证券委员会的监管。</t>
  </si>
  <si>
    <t>中信建投自营利(China Securities)用中信建投证券自有资金开展投资业务，秉承“服务实体经济、服务科技创新、服务经济转型、服务国家战略”的理念，怀揣“助力科技，改变世界”的愿景，积极开展自有资金投资业务，助力高水平科技自立自强。公司重点布局“科技创新”“双碳架构”“先进制造”和“健康生活”四大赛道，构建以股权投资为核心，兼顾泛股权及创新产品投资的均衡资产组合。2023年新增投资项目26个，投资金额13.35亿元。</t>
  </si>
  <si>
    <t>Monashee</t>
  </si>
  <si>
    <t xml:space="preserve">
</t>
  </si>
  <si>
    <t>中国太保香港</t>
  </si>
  <si>
    <t>CPIC HK</t>
  </si>
  <si>
    <t>险资长线</t>
  </si>
  <si>
    <t>3.26万亿人民币</t>
  </si>
  <si>
    <t>长光辰芯、恩格新能、大族数控、国恩科技、英矽智能、创新实业、乐舒适、紫金黄金国际</t>
  </si>
  <si>
    <t>泰康资管</t>
  </si>
  <si>
    <t>超650亿美元</t>
  </si>
  <si>
    <t>首尔</t>
  </si>
  <si>
    <t>小组会</t>
  </si>
  <si>
    <t>汇添富（China Universal Asset Management）是中国一流的综合性资产管理公司之一。自2005年2月成立以来，汇添富基金已发展成为长期业绩亮眼、产品布局完善、业务领域全面、资产管理规模居前的大型基金公司。公募业务方面，截至2025年二季度，汇添富基金共管理363只公募基金，涵盖股票型基金、指数型基金、QDII基金、混合型基金、债券型基金、REITs基金及货币市场基金等各类产品。截至2025年6月30日，资产管理总规模超1.2万亿人民币。
过往港股基石投资案例包括映恩生物-B、科伦博泰生物-B、先瑞达医疗-B、奈雪的茶、森松国际等。</t>
  </si>
  <si>
    <t>Oasis Management由Seth Fischer于2002年创立并担任首席投资官，团队覆盖香港、东京、奥斯汀及开曼群岛，拥有50多名专业人才，是一家国际投资产管理理公司，总部位于香港，在全球范围内跨各类资本结构开展投资，核心聚焦亚洲市场，采用自下而上的微观机会挖掘策略，充分利用公司强大的定性和定量研究能力与亚洲市场专业知识进行对冲及风险管理。</t>
  </si>
  <si>
    <t>安澜资本（Anlan Capital）是一家全球领先的多元化资产管理公司，公司的资产管理产品涉及私募股权、房产基金、对冲基金、固定收益等多个投资领域。安澜资本的股东和投资团队具有强劲筛选及网罗优质资产的能力，合作伙伴和投资标的均聚焦于行业中第一梯队企业。公司致力于为中国的机构投资者，金融专业人士，以及高净值人士寻找独家的投资机会以及多样化的解决方案。安澜致力于投资最具前景的新经济、高科技、大消费及生物医疗企业。投资团队来自于国际知名投资机构、投行，具有开阔的国际视野及对资本市场的深刻认知。其资产管理规模约10亿美元。</t>
  </si>
  <si>
    <t>富国基金（Fullgoal Fund）成立于1999年，是证监会批准设立的首批十家基金管理公司之一，总部位于上海，在北京、广州、成都设有分公司。富国基金已经形成权益投资、固定收益投资、量化投资三大投研平台，已覆盖主动权益、固收、量化、养老金投资、FOF等多个领域，具备多策略、多元化的投资产管理理能力。资产管理规模约2,086亿美元</t>
  </si>
  <si>
    <t>奕图资本（Y2 Capital）是一家总部位于香港的资产管理公司，由首席投资官富雷先生于 2020 年创立，为负责任投资原则（UN PRI）签署机构。秉持好奇心与追求真谛的使命感，奕图资本团队笃行价值投资。公司核心目标是为投资者创造可持续的经风险调整后回报，同时最大化对社会及环境的正面影响，致力于成为亚洲领先的负责任投资产管理理公司。</t>
  </si>
  <si>
    <t>上实资本（SIIC）成立于 2020 年 4 月 30 日，作为上海上实集团旗下的主动型基金管理平台，专注于股权投资产管理理与资产管理核心业务。自成立以来，公司始终立足上海、联动香港、面向全球，依托多币种、全阶段的基金矩阵布局，在智能科技、绿色环保、生物医药等战略新兴产业领域积极发掘并把握投资机遇</t>
  </si>
  <si>
    <t>Monashee是一家总部位于美国波士顿的投资顾问机构。公 司成立于 2011 年，为机构客户、家族办公室及高净值个人提供涵盖多种策略的投资产管理 理服务。截至 2025 年 6 月 30 日，公司管理资产规模超过 19 亿美元。公司投资核心在 于通过深入的基本面研究与多元化的全球投资组合构建来创造可持续的长期回报</t>
  </si>
  <si>
    <t>未披露</t>
  </si>
  <si>
    <t>Centiva Capital</t>
  </si>
  <si>
    <t>Centiva Capital是一家位于美国纽约的金融投资公司，专注于为机构及个人投资者发掘另类投资机遇。公司依托专业的尽调流程与广泛的行业网络，系统筛选具有高增长潜力与价值提升空间的项目，致力于为投资者创造具有吸引力的风险调整后回报。凭借经验丰富的投资团队，Centiva不仅协助被投企业制定增长战略、优化财务与运营结构，还为投资者提供深度的行业洞察与市场分析，助力其实现更明智的投资决策</t>
  </si>
  <si>
    <t>Qinbo Ding（基金经理）
Joe Zhu（ECM负责人）</t>
  </si>
  <si>
    <t>Taikang AM</t>
  </si>
  <si>
    <t>泰康资产管理(Taikang AM)作为中国领先的保险系资产管理平台，依托泰康保险集团生态构建"长期资金管理+多元化资产创设"双引擎驱动模式。截至2025年6月，管理总规模突破4.5万亿元，其中养老金管理规模1.1万亿元、绿色投资组合超2500亿元，形成覆盖固收、权益、另类及跨境投资的完整能力链。通过香港子公司、公募基金平台、私募基地及产业直投团队的协同运作，深度主导京沪高铁、西气东输等国家级基建项目，并持续加码新能源、大健康、智慧物流等战略赛道直投，持续锚定"长期资本赋能实体经济低碳转型与民生基建升级"的核心使命。</t>
  </si>
  <si>
    <t>德邵基金（D.E. Shaw）成立于1988年，以量化投资和多策略组合为核心竞争力，业务覆盖另类投资、长期策略及技术驱动型金融创新。该公司使用广泛多元的投资策略进行全球布局，投资覆盖一级、二级市场项目，旨在获取绝对收益。截至2025年3月1日，其资产管理规模超过650亿美元</t>
  </si>
  <si>
    <t>宋奇（基金经理）</t>
  </si>
  <si>
    <t>国际长线</t>
  </si>
  <si>
    <t>宁远资本（Protium Capital）是一家专注于中国市场的新锐美元私募股权，业绩在中国区基金排名前10%，基于深度基本面研究，兼顾价值和成长型投资，聚焦消费、工业和科技领域投资，创始团队包括高瓴资本前基金经理、加拿大顶级公募基金亚洲区创始人、沃顿商学院MBA等资深人士。</t>
  </si>
  <si>
    <t>约2,086亿美元</t>
  </si>
  <si>
    <t>约1.6万亿美元</t>
  </si>
  <si>
    <t>1 Hillhouse 高瓴 </t>
  </si>
  <si>
    <t>11 Harvest 嘉实 </t>
  </si>
  <si>
    <t>2 Tencent 腾讯 </t>
  </si>
  <si>
    <t>12 Temasek 淡马锡 </t>
  </si>
  <si>
    <t>3 Blackrock 贝莱德 </t>
  </si>
  <si>
    <t>13 Eastsprings 瀚亚投资 </t>
  </si>
  <si>
    <t>4 诚通/国调/混改 </t>
  </si>
  <si>
    <t>14 Mirae 未来集团 </t>
  </si>
  <si>
    <t>5 Greenwoods 景林 </t>
  </si>
  <si>
    <t>15 Allianz 安联环球 </t>
  </si>
  <si>
    <t>6 Taikang 泰康保险 </t>
  </si>
  <si>
    <t>16 UBS GAM/O'Connor 瑞银资管/O‘Connor </t>
  </si>
  <si>
    <t>7 Perseverance 高毅资产 </t>
  </si>
  <si>
    <t>17 Infini 无极资本 </t>
  </si>
  <si>
    <t>8 CPE 中信产业基金 </t>
  </si>
  <si>
    <t>18 Pinpoint 保银投资 </t>
  </si>
  <si>
    <t>9 Fullgoal 富国（含香港&amp;上海） </t>
  </si>
  <si>
    <t>19 Verition </t>
  </si>
  <si>
    <t>10 GF Funds 广发基金 </t>
  </si>
  <si>
    <t>20 E Fund 易方达 </t>
  </si>
  <si>
    <t>银河</t>
  </si>
  <si>
    <t>1 Schroders 施罗德</t>
  </si>
  <si>
    <t>2 JPM AM 摩根大通资管</t>
  </si>
  <si>
    <t>3 IDG/Enreal/ARC</t>
  </si>
  <si>
    <t>4 Boyu 博裕资本</t>
  </si>
  <si>
    <t>5 Barings 霸菱</t>
  </si>
  <si>
    <t>6 Millennium</t>
  </si>
  <si>
    <t>7 Jane street</t>
  </si>
  <si>
    <t>8 North Rock</t>
  </si>
  <si>
    <t>9 Marshall Wace</t>
  </si>
  <si>
    <t>10 FIL</t>
  </si>
  <si>
    <t>Bank3</t>
  </si>
  <si>
    <t>Bank4</t>
  </si>
  <si>
    <t>Bank5</t>
  </si>
  <si>
    <t>Helper Column</t>
  </si>
  <si>
    <t>CMS</t>
  </si>
  <si>
    <r>
      <t>WT</t>
    </r>
    <r>
      <rPr>
        <sz val="10"/>
        <color theme="1"/>
        <rFont val="KaiTi"/>
        <charset val="134"/>
      </rPr>
      <t>资管</t>
    </r>
  </si>
  <si>
    <r>
      <t>1</t>
    </r>
    <r>
      <rPr>
        <sz val="10"/>
        <color theme="1"/>
        <rFont val="KaiTi"/>
        <charset val="134"/>
      </rPr>
      <t>对</t>
    </r>
    <r>
      <rPr>
        <sz val="10"/>
        <color theme="1"/>
        <rFont val="Arial"/>
        <family val="2"/>
      </rPr>
      <t>1</t>
    </r>
  </si>
  <si>
    <r>
      <t>Katherine</t>
    </r>
    <r>
      <rPr>
        <sz val="10"/>
        <color theme="1"/>
        <rFont val="KaiTi"/>
        <charset val="134"/>
      </rPr>
      <t>（合伙人）</t>
    </r>
    <r>
      <rPr>
        <sz val="10"/>
        <color theme="1"/>
        <rFont val="Arial"/>
        <family val="2"/>
      </rPr>
      <t xml:space="preserve">
Marvin</t>
    </r>
    <r>
      <rPr>
        <sz val="10"/>
        <color theme="1"/>
        <rFont val="KaiTi"/>
        <charset val="134"/>
      </rPr>
      <t>（分析师）</t>
    </r>
    <r>
      <rPr>
        <sz val="10"/>
        <color theme="1"/>
        <rFont val="Arial"/>
        <family val="2"/>
      </rPr>
      <t xml:space="preserve">
Jane</t>
    </r>
    <r>
      <rPr>
        <sz val="10"/>
        <color theme="1"/>
        <rFont val="KaiTi"/>
        <charset val="134"/>
      </rPr>
      <t>（分析师）</t>
    </r>
    <r>
      <rPr>
        <sz val="10"/>
        <color theme="1"/>
        <rFont val="Arial"/>
        <family val="2"/>
      </rPr>
      <t xml:space="preserve">
</t>
    </r>
    <r>
      <rPr>
        <sz val="10"/>
        <color theme="1"/>
        <rFont val="KaiTi"/>
        <charset val="134"/>
      </rPr>
      <t>孙然（基金经理）</t>
    </r>
    <r>
      <rPr>
        <sz val="10"/>
        <color theme="1"/>
        <rFont val="Arial"/>
        <family val="2"/>
      </rPr>
      <t xml:space="preserve">
Zhang Qin</t>
    </r>
    <r>
      <rPr>
        <sz val="10"/>
        <color theme="1"/>
        <rFont val="KaiTi"/>
        <charset val="134"/>
      </rPr>
      <t>（基金经理）</t>
    </r>
    <r>
      <rPr>
        <sz val="10"/>
        <color theme="1"/>
        <rFont val="Arial"/>
        <family val="2"/>
      </rPr>
      <t xml:space="preserve">
</t>
    </r>
    <r>
      <rPr>
        <sz val="10"/>
        <color theme="1"/>
        <rFont val="KaiTi"/>
        <charset val="134"/>
      </rPr>
      <t>翟放（行业研究员）</t>
    </r>
  </si>
  <si>
    <r>
      <t>余文俊（研究主管）</t>
    </r>
    <r>
      <rPr>
        <sz val="10"/>
        <color theme="1"/>
        <rFont val="Arial"/>
        <family val="2"/>
      </rPr>
      <t xml:space="preserve">
</t>
    </r>
    <r>
      <rPr>
        <sz val="10"/>
        <color theme="1"/>
        <rFont val="KaiTi"/>
        <charset val="134"/>
      </rPr>
      <t>周润南（研究员）</t>
    </r>
    <r>
      <rPr>
        <sz val="10"/>
        <color theme="1"/>
        <rFont val="Arial"/>
        <family val="2"/>
      </rPr>
      <t xml:space="preserve">
Christine Sun</t>
    </r>
    <r>
      <rPr>
        <sz val="10"/>
        <color theme="1"/>
        <rFont val="KaiTi"/>
        <charset val="134"/>
      </rPr>
      <t>（研究员）</t>
    </r>
    <r>
      <rPr>
        <sz val="10"/>
        <color theme="1"/>
        <rFont val="Arial"/>
        <family val="2"/>
      </rPr>
      <t xml:space="preserve">
</t>
    </r>
  </si>
  <si>
    <r>
      <t>梁启正（董事总经理）</t>
    </r>
    <r>
      <rPr>
        <sz val="10"/>
        <color theme="1"/>
        <rFont val="Arial"/>
        <family val="2"/>
      </rPr>
      <t xml:space="preserve">
Felix Huang</t>
    </r>
    <r>
      <rPr>
        <sz val="10"/>
        <color theme="1"/>
        <rFont val="KaiTi"/>
        <charset val="134"/>
      </rPr>
      <t>（权益投资部主管）</t>
    </r>
  </si>
  <si>
    <t>和铂医药-B、海普瑞</t>
  </si>
  <si>
    <t>"中环皇后大道中15号置地广场York House19楼</t>
  </si>
  <si>
    <t>梁启正（MD）
Felix Huang（权益投资部主管）</t>
  </si>
  <si>
    <t>瑞银资产管理（UBS GAM）隶属于瑞银集团，是其旗下财富管理、资产管理、投资银行等三大业务板块之一。瑞银资产管理是全球不到30家万亿美元资产管理俱乐部成员之一，也是全球增长最快的可持续投资策略管理人之一。瑞银资产管理在全球23个市场设有办公室，进入中国市场已有20余年。截至2023年，瑞银资产管理旗下管理规模约1.6万亿美元。</t>
  </si>
  <si>
    <t>香港</t>
  </si>
  <si>
    <t>9:30-10:30</t>
  </si>
  <si>
    <t>11:00-12:00</t>
  </si>
  <si>
    <t>深圳</t>
  </si>
  <si>
    <t>山东国惠</t>
  </si>
  <si>
    <t>博裕资本（Boyu Capital）是一家成立于 2011 年、总部位于香港的另类投资机构。投资策略上，公司采用主题驱动、长期导向的投资方法，平台覆盖私募股权、公开市场股权、基础设施及风险投资等方向。偏好行业主要包括科技、消费与零售、医疗健康及可持续能源等领域。投资者类型属于私募股权。</t>
  </si>
  <si>
    <t>长光辰芯、思格新能、青瓷游戏、固生堂、微泰医疗-B、心玮医疗- B、腾岁盛博药-B、康诺亚-B、归创通桥- B、诺锼阿辉健康- B、德琪医药- B、欧隕幸康维视生物- B</t>
  </si>
  <si>
    <t>创新实业、万物云、堃博医疗-B、华润万象生活、 启明医疗-B</t>
  </si>
  <si>
    <t>MINIMAX-WP、天数智芯、聚水潭、紫金黄金国际、劲方医药-B、映恩生物-B、科伦博泰生物-B、先瑞达医疗-B、奈雪的茶、森松国际</t>
  </si>
  <si>
    <t>长光辰芯、迅策、卧安机器人、HASHKEY HLDGS、剑桥科技、不同集团</t>
  </si>
  <si>
    <t>Shandong Guohui</t>
  </si>
  <si>
    <t>闪点项目 - Tracker</t>
  </si>
  <si>
    <r>
      <t>周厦（董事长）</t>
    </r>
    <r>
      <rPr>
        <sz val="10"/>
        <color theme="1"/>
        <rFont val="Arial"/>
        <family val="2"/>
      </rPr>
      <t xml:space="preserve">
</t>
    </r>
    <r>
      <rPr>
        <sz val="10"/>
        <color theme="1"/>
        <rFont val="KaiTi"/>
        <charset val="134"/>
      </rPr>
      <t>张铁（首席执行官）</t>
    </r>
    <r>
      <rPr>
        <sz val="10"/>
        <color theme="1"/>
        <rFont val="Arial"/>
        <family val="2"/>
      </rPr>
      <t xml:space="preserve">
</t>
    </r>
    <r>
      <rPr>
        <sz val="10"/>
        <color theme="1"/>
        <rFont val="KaiTi"/>
        <charset val="134"/>
      </rPr>
      <t>苏小凡（首席投资官）</t>
    </r>
  </si>
  <si>
    <r>
      <t>Nick Feng</t>
    </r>
    <r>
      <rPr>
        <sz val="10"/>
        <color theme="1"/>
        <rFont val="KaiTi"/>
        <charset val="134"/>
      </rPr>
      <t>（机械分析师）</t>
    </r>
  </si>
  <si>
    <r>
      <t>Jerry Peng</t>
    </r>
    <r>
      <rPr>
        <sz val="10"/>
        <color theme="1"/>
        <rFont val="KaiTi"/>
        <charset val="134"/>
      </rPr>
      <t>（基金经理）、</t>
    </r>
    <r>
      <rPr>
        <sz val="10"/>
        <color theme="1"/>
        <rFont val="Arial"/>
        <family val="2"/>
      </rPr>
      <t>Freddie Cai</t>
    </r>
    <r>
      <rPr>
        <sz val="10"/>
        <color theme="1"/>
        <rFont val="KaiTi"/>
        <charset val="134"/>
      </rPr>
      <t>（股权分析师）、</t>
    </r>
    <r>
      <rPr>
        <sz val="10"/>
        <color theme="1"/>
        <rFont val="Arial"/>
        <family val="2"/>
      </rPr>
      <t>Derek Su</t>
    </r>
    <r>
      <rPr>
        <sz val="10"/>
        <color theme="1"/>
        <rFont val="KaiTi"/>
        <charset val="134"/>
      </rPr>
      <t>（股权分析师）</t>
    </r>
    <r>
      <rPr>
        <sz val="10"/>
        <color theme="1"/>
        <rFont val="Arial"/>
        <family val="2"/>
      </rPr>
      <t xml:space="preserve">
Alastair Pang
</t>
    </r>
    <r>
      <rPr>
        <sz val="10"/>
        <color theme="1"/>
        <rFont val="KaiTi"/>
        <charset val="134"/>
      </rPr>
      <t>（</t>
    </r>
    <r>
      <rPr>
        <sz val="10"/>
        <color theme="1"/>
        <rFont val="Arial"/>
        <family val="2"/>
      </rPr>
      <t>ECM</t>
    </r>
    <r>
      <rPr>
        <sz val="10"/>
        <color theme="1"/>
        <rFont val="KaiTi"/>
        <charset val="134"/>
      </rPr>
      <t>负责人）</t>
    </r>
  </si>
  <si>
    <r>
      <t>中环花园道</t>
    </r>
    <r>
      <rPr>
        <sz val="10"/>
        <color theme="1"/>
        <rFont val="Arial"/>
        <family val="2"/>
      </rPr>
      <t xml:space="preserve"> 3 </t>
    </r>
    <r>
      <rPr>
        <sz val="10"/>
        <color theme="1"/>
        <rFont val="KaiTi"/>
        <charset val="134"/>
      </rPr>
      <t>号中国工商银行大厦</t>
    </r>
    <r>
      <rPr>
        <sz val="10"/>
        <color theme="1"/>
        <rFont val="Arial"/>
        <family val="2"/>
      </rPr>
      <t xml:space="preserve"> 36 </t>
    </r>
    <r>
      <rPr>
        <sz val="10"/>
        <color theme="1"/>
        <rFont val="KaiTi"/>
        <charset val="134"/>
      </rPr>
      <t>楼</t>
    </r>
    <r>
      <rPr>
        <sz val="10"/>
        <color theme="1"/>
        <rFont val="Arial"/>
        <family val="2"/>
      </rPr>
      <t xml:space="preserve"> 3607-08</t>
    </r>
    <r>
      <rPr>
        <sz val="10"/>
        <color theme="1"/>
        <rFont val="KaiTi"/>
        <charset val="134"/>
      </rPr>
      <t>室</t>
    </r>
  </si>
  <si>
    <r>
      <t>Justin Zhang</t>
    </r>
    <r>
      <rPr>
        <sz val="10"/>
        <color theme="1"/>
        <rFont val="KaiTi"/>
        <charset val="134"/>
      </rPr>
      <t>（创始人）</t>
    </r>
    <r>
      <rPr>
        <sz val="10"/>
        <color theme="1"/>
        <rFont val="Arial"/>
        <family val="2"/>
      </rPr>
      <t xml:space="preserve">
</t>
    </r>
    <r>
      <rPr>
        <sz val="10"/>
        <color theme="1"/>
        <rFont val="KaiTi"/>
        <charset val="134"/>
      </rPr>
      <t>王辉（董事总经理）</t>
    </r>
  </si>
  <si>
    <t>Project Search Light</t>
  </si>
  <si>
    <t>China Life Franklin</t>
  </si>
  <si>
    <t>4.5万亿人民币</t>
  </si>
  <si>
    <t xml:space="preserve">
</t>
  </si>
  <si>
    <t xml:space="preserve">0
</t>
  </si>
  <si>
    <t>孙瑞（执行董事）
Jack（创始人）</t>
  </si>
  <si>
    <t>方若凡（创始人）
远景动力：
张甘霖（投资总监）</t>
  </si>
  <si>
    <t>Piers Cassidy
（基金经理）
阿麦斯：James Cheung（分析师）</t>
  </si>
  <si>
    <t>马湛（投资总监）
林琪（投资总监）</t>
  </si>
  <si>
    <t>中国人寿富兰克林</t>
  </si>
  <si>
    <t>中国人寿富蘭克林（China Life Franklin）成立于2003年，是由中国人寿保险和富兰克林邓普顿投资集团（Franklin Templeton）共同成立的合资公司，专注于资产管理业务，服务对象包括机构投资者和个人投资者，并提供多元化的投资产品和解决方案。基金秉持长期投资、风险控制和价值投资的理念，致力于为客户创造持续回报，投资策略结合全球市场经验与本地洞察，提供定制化投资方案</t>
  </si>
  <si>
    <t>Cathy Luo（基金经理）
齐凡（ECM负责人）</t>
  </si>
  <si>
    <t>王志华（投资总监）
阿麦斯：张晟优（研究员）</t>
  </si>
  <si>
    <t>Ian Liu（基金经理）
阿麦斯：
刘乐飞（创始人）
王园晔（投资副总裁）
高文玲（投资副总裁）
陈业（基金经理、研究总监）
孔令鑫（研究总监助理）</t>
  </si>
  <si>
    <t>Eva Liu（分析师）
阿麦斯：
张峰（海外投资部总经理）
宁君（QDII基金经理）
彭陈晨（QDII基金经理）
吴燕柳（研究员）</t>
  </si>
  <si>
    <t>Edgar Hu （基金经理）
文博（高级分析师）
Phoebe Guo（基金经理）</t>
  </si>
  <si>
    <t>Gilbert Lee（创始人）
Kevin Huang（董事总经理）
Luis Lui（分析师）</t>
  </si>
  <si>
    <t>华勤技术、群核科技、澜起科技、东鹏饮料、鸣鸣很忙、兆易创新、Minimax-WP等</t>
  </si>
  <si>
    <t>陈济（投资总监）
Ray Li（机械分析师）
远景动力：
陈济（投资总监）
李睿（权益研究总监）
田晓萱（新股投资经理）</t>
  </si>
  <si>
    <t>曦智科技-P、英矽智能、三一重工、万物云、京东物流、上海医药、东鹏饮料、鸣鸣很忙等</t>
  </si>
  <si>
    <t>邵冠棋（基金经理）
阿麦斯：常宇亮（二级市场负责人）
邵冠棋（投资总监）</t>
  </si>
  <si>
    <t>剂泰科技-P、曦智科技-P、华勤技术、长光辰芯、恩格新能、广合科技、澜起科技、牧原股份、东鹏饮料、豪威集团、精锋医疗-B、天数智芯、壁仞科技等</t>
  </si>
  <si>
    <t>Anchor Zou（董事）
远景动力：
施斌（大中华区股票主管）
Yishu Yan（能源、储能分析师）</t>
  </si>
  <si>
    <t>北京、上海</t>
  </si>
  <si>
    <t>北京</t>
  </si>
  <si>
    <t>11:15-12:15</t>
  </si>
  <si>
    <t>中移资本成立于2016年11月，是中国移动通信集团有限公司全资设立的国有独资企业，注册资本200亿元，专注于数字经济领域的股权投资与资本运作。作为中国移动对外投资和资本运作的集中管理平台，其紧密依托母公司战略和资源，通过股权投资赋能被投企业，助力高质量发展。</t>
  </si>
  <si>
    <t>中邮理财是中国邮政储蓄银行股份有限公司的全资子公司，注册资本80亿元人民币，注册地为北京，于2019年12月获批成立，主要从事发行公募理财产品、发行私募理财产品、理财顾问和咨询等资产管理相关业务。中邮理财致力于建设成为以客户为中心，审慎稳健、专业开放、创新领先、价值卓越的一流银行系资产管理公司。截至2024年末，邮储银行管理个人客户资产规模达到 16.69万亿元。</t>
  </si>
  <si>
    <t>上海</t>
  </si>
  <si>
    <t>14:00-15:00</t>
  </si>
  <si>
    <t>15:30-16:30</t>
  </si>
  <si>
    <t>17:00-18:00</t>
  </si>
  <si>
    <t>中国太保上海(CPIC HK)是与太平洋产险同日成立的分支机构。上海分公司始终坚持改革创新、坚持“保险姓保”，服务于上海国际经济、金融、贸易、航运、科创“五个中心”和现代化国际大都市建设，积极助力上海服务、上海制造、上海购物、上海文化“四大品牌”打造，保险业务规模持续增长，保费收入已从公司成立之初的7,900多万元发展到2023年的141.2亿元，业务规模增长170多倍，近三年来累计支付赔款206.27亿元，为上海经济发展、社会和谐作出了贡献。</t>
  </si>
  <si>
    <t>Skycus Capital
天壹资本</t>
  </si>
  <si>
    <t xml:space="preserve">
中移资本</t>
  </si>
  <si>
    <t>Cephei
润晖</t>
  </si>
  <si>
    <t>Protium Capital
宁远资本</t>
  </si>
  <si>
    <t>PSBC WM
中邮理财</t>
  </si>
  <si>
    <t>CPE
源峰</t>
  </si>
  <si>
    <t>China Securities
中信建投自营</t>
  </si>
  <si>
    <t>Value Partners
惠理基金</t>
  </si>
  <si>
    <t>China Universal AM
汇添富</t>
  </si>
  <si>
    <t>UBS AM
瑞银资管</t>
  </si>
  <si>
    <t>Orchid Asia
兰馨亚洲</t>
  </si>
  <si>
    <t>SIIC
上实资本</t>
  </si>
  <si>
    <t>CPIC SH
中国太保上海</t>
  </si>
  <si>
    <t>Boyu Capital
博裕资本</t>
  </si>
  <si>
    <t>Fullgoal Fund
富国基金</t>
  </si>
  <si>
    <t>Temasek
淡马锡</t>
  </si>
  <si>
    <t>SK集团成立于1953年，是韩国第二大企业集团，SK在2023年位列《财富》杂志世界500强第92位。SK作为首家在华设立分支机构的韩国大企业，1991年就在北京设立了办事处。SK通过全球合作伙伴计划，从长远的角度出发，与中国当地合作伙伴、社区开展合作，推动共同发展的本土化战略。至2022年末，SK集团共有18家成员公司在中国设立了54个法人，拥有2.4万名员工，总投资额达430亿美元。SK集团资产总额 2,469亿美元。</t>
  </si>
  <si>
    <t>2,469亿美元</t>
  </si>
  <si>
    <t>13:00-14:00</t>
  </si>
  <si>
    <t xml:space="preserve">SK China
</t>
  </si>
  <si>
    <t>Taikang AM
泰康资管</t>
  </si>
  <si>
    <t>Citadel是一家美国的多策略另类投资产管理公司，投资策略主要基于基本面分析和计量金融分析，投资业务分布在北美、欧洲、亚洲等地。公司拥有来自全球各地背景的投资专家，从业经验丰富，擅长从实时变化的市场中及时发现投资机会。Citadel在多空策略、全球宏观策略等基础上不断探索多样化投资方式，旨在审慎把控分散风险的同时为客户提供长期绝对回报。其管理资产规模为690亿美元</t>
  </si>
  <si>
    <t>胜宏科技、兆威机电、沃尔核材、均胜电子、赛力斯、周六福、美的集团</t>
  </si>
  <si>
    <t>一瓢资本</t>
  </si>
  <si>
    <t>Aspoon Capital</t>
  </si>
  <si>
    <t>一瓢资本(Aspoon Capital)是一家总部位于香港的多空策略股票对冲基金，成立于2020年，专注于大中华区市场。公司投资于科技、媒体和电信（TMT）、消费品和工业领域，主要投资于在中国大陆（A股）、香港（H股）和美国存托凭证（ADR）上市的中国及与中国相关的公司。其资产管理规模约为5,600美元。</t>
  </si>
  <si>
    <t>5,600美元</t>
  </si>
  <si>
    <t>Nine Masts Capital</t>
  </si>
  <si>
    <t>Nine Masts Capital是一家总部位于香港的对冲基金管理公司，由王兵于2010年创立。这家多元策略公司交易多种资产类别，包括股票、信贷、可转换债券、数字资产和外汇，主要在亚洲市场开展业务。其资产管理规模约9亿美元。</t>
  </si>
  <si>
    <t>9亿美元</t>
  </si>
  <si>
    <t>oasis</t>
  </si>
  <si>
    <t>fac</t>
  </si>
  <si>
    <t>Cita</t>
  </si>
  <si>
    <t>Y2</t>
  </si>
  <si>
    <t>Centiv</t>
  </si>
  <si>
    <t>Polymer</t>
  </si>
  <si>
    <t>D.E.</t>
  </si>
  <si>
    <t>Vir</t>
  </si>
  <si>
    <t>Anlan</t>
  </si>
  <si>
    <t xml:space="preserve">Nine </t>
  </si>
  <si>
    <t>Aspoon</t>
  </si>
  <si>
    <t>Oakwise</t>
  </si>
  <si>
    <t>投资机构</t>
  </si>
  <si>
    <t>参会人</t>
  </si>
  <si>
    <t>公司简介</t>
  </si>
  <si>
    <t>Y2 Capital
奕图资本</t>
  </si>
  <si>
    <t xml:space="preserve">Centiva Capital
</t>
  </si>
  <si>
    <t>Polymer Capital
柏骏资本</t>
  </si>
  <si>
    <t>D.E. Shaw
德邵基金</t>
  </si>
  <si>
    <t xml:space="preserve">Viridian
</t>
  </si>
  <si>
    <t>Anlan Capital
安澜资本</t>
  </si>
  <si>
    <t xml:space="preserve">Oasis Management
</t>
  </si>
  <si>
    <t xml:space="preserve">Factorial
</t>
  </si>
  <si>
    <t>EIP
易亚投资</t>
  </si>
  <si>
    <t xml:space="preserve">Matrix Capital
</t>
  </si>
  <si>
    <t xml:space="preserve">Citadel
</t>
  </si>
  <si>
    <t xml:space="preserve">Monashee
</t>
  </si>
  <si>
    <t xml:space="preserve">Nine Masts Capital
</t>
  </si>
  <si>
    <t>Aspoon Capital
一瓢资本</t>
  </si>
  <si>
    <t>Oakwise Capital
瑞橡资本</t>
  </si>
  <si>
    <t>Cithara
信庭</t>
  </si>
  <si>
    <t>Richard Guan</t>
  </si>
  <si>
    <t>（高级分析师）</t>
  </si>
  <si>
    <t>Kyle Chan</t>
  </si>
  <si>
    <t>（基金经理）</t>
  </si>
  <si>
    <t>Gin Tian</t>
  </si>
  <si>
    <t>Kathy Peng</t>
  </si>
  <si>
    <t>Mimi Kong</t>
  </si>
  <si>
    <t>Kelvin Peng</t>
  </si>
  <si>
    <t>Hao Wu</t>
  </si>
  <si>
    <t>Dave Yin</t>
  </si>
  <si>
    <t>胡雪阳</t>
  </si>
  <si>
    <t>James Cheung</t>
  </si>
  <si>
    <t>Elaine Wang</t>
  </si>
  <si>
    <r>
      <t>（</t>
    </r>
    <r>
      <rPr>
        <sz val="9.5"/>
        <color theme="1"/>
        <rFont val="Arial"/>
        <family val="2"/>
      </rPr>
      <t>ECM</t>
    </r>
    <r>
      <rPr>
        <sz val="9.5"/>
        <color theme="1"/>
        <rFont val="KaiTi"/>
        <charset val="134"/>
      </rPr>
      <t>董事）</t>
    </r>
  </si>
  <si>
    <t>Aylee Wakatsuki</t>
  </si>
  <si>
    <t>（投资分析师）</t>
  </si>
  <si>
    <t>Rishabh Jhunjhunwala</t>
  </si>
  <si>
    <t>（分析师）</t>
  </si>
  <si>
    <t>Muyang</t>
  </si>
  <si>
    <t>Jack</t>
  </si>
  <si>
    <t>（创始人）</t>
  </si>
  <si>
    <t>Yvette</t>
  </si>
  <si>
    <t>（执行董师）</t>
  </si>
  <si>
    <t>Barnaby Joll</t>
  </si>
  <si>
    <t>（高级基金经理）</t>
  </si>
  <si>
    <t>Ryan</t>
  </si>
  <si>
    <t>Vincent</t>
  </si>
  <si>
    <t>Felix Huang</t>
  </si>
  <si>
    <t>（权益投资部主管）</t>
  </si>
  <si>
    <t>王辉</t>
  </si>
  <si>
    <t>（董事总经理）</t>
  </si>
  <si>
    <t>Richard Guan（高级分析师）</t>
  </si>
  <si>
    <t>Kyle Chan（基金经理）</t>
  </si>
  <si>
    <t>Gin Tian（基金经理）</t>
  </si>
  <si>
    <t>Hao Wu（高级分析师）</t>
  </si>
  <si>
    <t>Dave Yin（高级分析师）</t>
  </si>
  <si>
    <t>胡雪阳（高级分析师）</t>
  </si>
  <si>
    <t>James Cheung（高级分析师）</t>
  </si>
  <si>
    <t>Rishabh Jhunjhunwala（分析师）</t>
  </si>
  <si>
    <t>Muyang（分析师）</t>
  </si>
  <si>
    <t>Barnaby Joll（高级基金经理）</t>
  </si>
  <si>
    <t>Felix Huang（权益投资部主管）</t>
  </si>
  <si>
    <t>王辉（董事总经理）</t>
  </si>
  <si>
    <t>Kathy Peng（基金经理）
Mimi Kong（基金经理）
Kelvin Peng（基金经理）</t>
  </si>
  <si>
    <t>Elaine Wang（ECM董事）
Aylee Wakatsuki（投资分析师）</t>
  </si>
  <si>
    <t>Jack（创始人）
Yvette（执行董师）</t>
  </si>
  <si>
    <t>Ryan（基金经理）
Vincent（分析师）</t>
  </si>
  <si>
    <t>Oasis Management由Seth Fischer于2002年创立，团队覆盖香港、东京、奥斯汀及开曼群岛，拥有50多名专业人才，是一家国际投资产管理理公司。</t>
  </si>
  <si>
    <t>Factorial是一家总部位于香港的对冲基金管理公司，由Barun Agarwal于2011年创立，专注于泛亚洲多策略投资。</t>
  </si>
  <si>
    <t>易亚投资（EIP）成立于2002年，总部位于香港，专注于亚太地区的投资机会。</t>
  </si>
  <si>
    <t>约10亿美元</t>
  </si>
  <si>
    <t>Matrix Capital以自有资金及所管理的股权基金为依托，聚焦大中华区具有长期增长潜力、行业领头地位及独特竞争优势的企业，核心投资领域涵盖高科技、新经济、医疗健康及大消费等行业。</t>
  </si>
  <si>
    <t>690亿美元</t>
  </si>
  <si>
    <t>Citadel是一家美国的多策略另类投资产管理公司，投资策略主要基于基本面分析和计量金融分析。</t>
  </si>
  <si>
    <t>超19 亿美元</t>
  </si>
  <si>
    <t>Monashee是一家总部位于美国波士顿的投资顾问机构，成立于 2011 年，为机构客户、家族办公室及高净值个人提供涵盖多种策略的投资产管理 理服务。</t>
  </si>
  <si>
    <t>奕图资本（Y2 Capital）是一家总部位于香港的资产管理公司，由首席投资官富雷先生于 2020 年创立，为负责任投资原则（UN PRI）签署机构。</t>
  </si>
  <si>
    <t>Centiva Capital是一家位于美国纽约的金融投资公司，专注于为机构及个人投资者发掘另类投资机遇。</t>
  </si>
  <si>
    <t>500亿美元</t>
  </si>
  <si>
    <t>Viridian是亚洲市场活跃度较高的对冲基金，由前 Segantii 基金经理 Pascal Guttieres 于 2024 年创立。其投资聚焦亚洲股票市场及基本面优质、具备成长性的企业，覆盖 IPO、大宗交易（Block Trade）、可转债（CB）等多元产品。</t>
  </si>
  <si>
    <t>安澜资本（Anlan Capital）是一家全球领先的多元化资产管理公司，公司的资产管理产品涉及私募股权、房产基金、对冲基金、固定收益等多个投资领域。</t>
  </si>
  <si>
    <t>Nine Masts Capital是由王兵于2010年创立。这家多元策略公司交易多种资产类别，包括股票、信贷、可转换债券、数字资产和外汇，主要在亚洲市场开展业务。</t>
  </si>
  <si>
    <t>一瓢资本(Aspoon Capital)是一家总部位于香港的多空策略股票对冲基金，成立于2020年，专注于大中华区市场。</t>
  </si>
  <si>
    <t>瑞橡资本（Oakwise Capital）是一家在香港证监会注册的资产管理公司，2018年由王风雨博士创立，专注投资于大中华地区。</t>
  </si>
  <si>
    <t xml:space="preserve">信庭（Cithara）是一家资产管理公司，通过提供定制的投资和融资解决方案满足各种客户的需求，其涵盖各种资产类别，如固定收益，股票，外汇，商品，衍生品和私募/创投基金。 </t>
  </si>
  <si>
    <t>約270亿美元</t>
  </si>
  <si>
    <t>约20亿美元</t>
  </si>
  <si>
    <t>超1,000亿美元</t>
  </si>
  <si>
    <t>创想三维</t>
  </si>
  <si>
    <t>兆威机电、沃尔核材、爱芯元智、迅策</t>
  </si>
  <si>
    <t>沃尔核材、壁仞科技</t>
  </si>
  <si>
    <t>创新实业、创新三维</t>
  </si>
  <si>
    <t>兆威机电</t>
  </si>
  <si>
    <t>长光辰芯、拓璞数控、迅策、卧安机器人、HASHKEY HLDGS、剑桥科技、不同集团</t>
  </si>
  <si>
    <t>Dream'ee</t>
  </si>
  <si>
    <t>君宜香港资本有限公司（Dream'ee (Hong Kong) Capital Limited）是一家在香港持牌的金融机构，受香港证券及期货事务监察委员会（证监会）监管。其主要业务包括企业融资、二级股权市场投资、首次公开募股（IPO）、债券及衍生品交易。</t>
  </si>
  <si>
    <t>君宜资本</t>
  </si>
  <si>
    <t>Dream'ee Capital</t>
  </si>
  <si>
    <t>china life fr</t>
  </si>
  <si>
    <t>ghisa</t>
  </si>
  <si>
    <t>taikang</t>
  </si>
  <si>
    <t>Dream'ee Capital
君宜资本</t>
  </si>
  <si>
    <t>China Life Franklin
中国人寿富兰克林</t>
  </si>
  <si>
    <t xml:space="preserve">Ghisallo
</t>
  </si>
  <si>
    <t xml:space="preserve">Jump Trading
</t>
  </si>
  <si>
    <t>君宜香港资本有限公司（Dream'ee (Hong Kong) Capital Limited）主要业务包括企业融资、二级股权市场投资、首次公开募股（IPO）、债券及衍生品交易。</t>
  </si>
  <si>
    <t>中国人寿富蘭克林（China Life Franklin）成立于2003年，是由中国人寿保险和富兰克林邓普顿投资集团（Franklin Templeton）共同成立的合资公司，专注于资产管理业务，服务对象包括机构投资者和个人投资者。</t>
  </si>
  <si>
    <t>80亿美元</t>
  </si>
  <si>
    <t>Ghisallo是一家总部位于马萨诸塞州波士顿的对冲基金，专注于全球投资，利用全球宏观、多头/空头股票、信贷、不良信贷、事件驱动和相对价值投资。</t>
  </si>
  <si>
    <t>泰康资产管理(Taikang AM)作为中国领先的保险系资产管理平台，依托泰康保险集团生态构建"长期资金管理+多元化资产创设"双引擎驱动模式。</t>
  </si>
  <si>
    <t>Jump Trading成立于 1999年，是一家专注于算法交易和高频交易策略的专营交易公司，活跃于全球期货、期权、加密货币和股票市场。</t>
  </si>
  <si>
    <t>超2,750亿港元</t>
  </si>
  <si>
    <t>Hansen Guo
（分析师）</t>
  </si>
  <si>
    <t>齐凡 
（基金经理）</t>
  </si>
  <si>
    <t>Vivian Lau 
（高级分析师）</t>
  </si>
  <si>
    <t>张厚喆
（研久员）</t>
  </si>
  <si>
    <t>Phoebe Guo
（基金经理）
Wen Bo
（高级分析师）</t>
  </si>
  <si>
    <t>埃斯顿、果下科技、纳芯微、遇见小面、广和通、周六福</t>
  </si>
  <si>
    <t>豪威集团、小马智行-W、赛力斯、三一重工、顺丰控股、华润饮料</t>
  </si>
  <si>
    <t>华勤技术、群核科技、澜起科技、东鹏饮料、鸣鸣很忙、兆易创新、Minimax-WP、智谱、壁仞科技、英矽智能、创新实业、剑桥科技、紫金黄金国际等</t>
  </si>
  <si>
    <t>盘京</t>
  </si>
  <si>
    <t>盘京投资</t>
  </si>
  <si>
    <t>orchid</t>
  </si>
  <si>
    <t xml:space="preserve">
盘京投资</t>
  </si>
  <si>
    <t>Loyal Valley Capital
正心谷</t>
  </si>
  <si>
    <t>Spring Capital
淡水泉</t>
  </si>
  <si>
    <t>66亿美元</t>
  </si>
  <si>
    <t>淡水泉（Spring Capital）成立于 2007 年，是中国领先的私募证券基金管理人之一。淡水泉挖掘长期价值，坚持基本面为导向的投资，偏好那些具有优秀公司治理、可被证明的过往经营管理能力的公司。</t>
  </si>
  <si>
    <t>上海盘京是中国资本市场的新锐投资力量，成立于2016年，目前已经成为境内知名百亿私募。公司投资领域覆盖TMT、金融&amp;地产、消费&amp;医药、电新&amp;制造业、能源化工&amp;周期品等。</t>
  </si>
  <si>
    <t>超500亿人民币</t>
  </si>
  <si>
    <t>正心谷资本于2015年成立，名字源于 “Loyal to our heart”，其投资覆盖新消费、医疗健康、现代金融、科技制造等领域，涉及早期、风险、私募股权、上市公司及并购投资各阶段 。</t>
  </si>
  <si>
    <t>兰馨亚洲（Orchid Asia）成立于1993年，是首批投资中国的国际私募股权机构之一，公司主要投资于具有持续增长潜力、高进入壁垒并处于扩张期的消费产品及服务行业、高新科技、医疗和外包制造服务业。</t>
  </si>
  <si>
    <t>超200亿人民币</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</si>
</sst>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yyyy&quot;年&quot;m&quot;月&quot;d&quot;日&quot;;@"/>
    <numFmt numFmtId="165" formatCode="yyyy/m/d;@"/>
    <numFmt numFmtId="166" formatCode="m&quot;月&quot;d&quot;日&quot;;@"/>
    <numFmt numFmtId="167" formatCode="m/d/yyyy"/>
  </numFmts>
  <fonts count="43">
    <font>
      <sz val="12"/>
      <color theme="1"/>
      <name val="Calibri"/>
      <family val="2"/>
      <scheme val="minor"/>
    </font>
    <font>
      <sz val="9"/>
      <color theme="1"/>
      <name val="KaiTi"/>
      <charset val="134"/>
    </font>
    <font>
      <sz val="10"/>
      <color theme="1"/>
      <name val="Arial"/>
      <family val="2"/>
    </font>
    <font>
      <u/>
      <sz val="12"/>
      <color theme="10"/>
      <name val="Calibri"/>
      <family val="2"/>
      <scheme val="minor"/>
    </font>
    <font>
      <sz val="10"/>
      <color rgb="FF000000"/>
      <name val="KaiTi"/>
      <charset val="134"/>
    </font>
    <font>
      <sz val="10"/>
      <color rgb="FF000000"/>
      <name val="Microsoft YaHei UI"/>
      <family val="2"/>
    </font>
    <font>
      <sz val="10"/>
      <color rgb="FF000000"/>
      <name val="Calibri"/>
      <family val="2"/>
      <scheme val="minor"/>
    </font>
    <font>
      <sz val="15"/>
      <color rgb="FF000000"/>
      <name val="Google Sans"/>
    </font>
    <font>
      <sz val="10"/>
      <color rgb="FF000000"/>
      <name val="KaiTi_GB2312"/>
      <charset val="134"/>
    </font>
    <font>
      <sz val="9"/>
      <color rgb="FF000000"/>
      <name val="KaiTi"/>
      <charset val="134"/>
    </font>
    <font>
      <sz val="12"/>
      <color rgb="FF191919"/>
      <name val="-apple-system"/>
    </font>
    <font>
      <sz val="9"/>
      <color rgb="FF000000"/>
      <name val="Arial"/>
      <family val="2"/>
    </font>
    <font>
      <sz val="10"/>
      <color rgb="FF000000"/>
      <name val="Microsoft GothicNeo"/>
    </font>
    <font>
      <sz val="10"/>
      <color rgb="FF000000"/>
      <name val="Arial Hebrew"/>
      <charset val="177"/>
    </font>
    <font>
      <sz val="11"/>
      <color rgb="FF000000"/>
      <name val="Arial"/>
      <family val="2"/>
    </font>
    <font>
      <sz val="9"/>
      <color rgb="FF000000"/>
      <name val="Calibri"/>
      <family val="2"/>
      <scheme val="minor"/>
    </font>
    <font>
      <sz val="12"/>
      <color rgb="FF000000"/>
      <name val="Calibri"/>
      <family val="2"/>
      <scheme val="minor"/>
    </font>
    <font>
      <sz val="12"/>
      <color theme="1"/>
      <name val="Noto Sans CJK SC"/>
      <family val="2"/>
    </font>
    <font>
      <sz val="12"/>
      <color rgb="FF000000"/>
      <name val="Aptos Narrow"/>
      <family val="2"/>
    </font>
    <font>
      <sz val="12"/>
      <color rgb="FF000000"/>
      <name val="Noto Sans CJK SC"/>
      <family val="2"/>
    </font>
    <font>
      <sz val="8"/>
      <name val="Calibri"/>
      <family val="2"/>
      <scheme val="minor"/>
    </font>
    <font>
      <sz val="12"/>
      <color theme="0"/>
      <name val="Calibri"/>
      <family val="2"/>
      <scheme val="minor"/>
    </font>
    <font>
      <b/>
      <sz val="10"/>
      <color theme="4"/>
      <name val="Arial"/>
      <family val="2"/>
    </font>
    <font>
      <sz val="11"/>
      <color theme="1"/>
      <name val="Arial"/>
      <family val="2"/>
    </font>
    <font>
      <sz val="10"/>
      <color theme="1"/>
      <name val="KaiTi"/>
      <charset val="134"/>
    </font>
    <font>
      <sz val="20"/>
      <color rgb="FF000000"/>
      <name val="Calibri"/>
      <family val="2"/>
    </font>
    <font>
      <sz val="20"/>
      <color rgb="FF000000"/>
      <name val="Aptos Narrow"/>
    </font>
    <font>
      <sz val="18"/>
      <color rgb="FF000000"/>
      <name val="Aptos Narrow"/>
    </font>
    <font>
      <sz val="10"/>
      <color theme="1"/>
      <name val="KaiTi"/>
      <family val="2"/>
      <charset val="134"/>
    </font>
    <font>
      <b/>
      <sz val="14"/>
      <color rgb="FF000000"/>
      <name val="Microsoft YaHei UI"/>
      <family val="2"/>
      <charset val="134"/>
    </font>
    <font>
      <sz val="10"/>
      <color rgb="FF000000"/>
      <name val="Microsoft YaHei UI"/>
      <family val="2"/>
      <charset val="134"/>
    </font>
    <font>
      <sz val="12"/>
      <color rgb="FF000000"/>
      <name val="Microsoft YaHei UI"/>
      <family val="2"/>
      <charset val="134"/>
    </font>
    <font>
      <sz val="10"/>
      <color rgb="FF000000"/>
      <name val="等线"/>
      <family val="4"/>
      <charset val="134"/>
    </font>
    <font>
      <u/>
      <sz val="11"/>
      <color rgb="FF0000FF"/>
      <name val="Microsoft YaHei UI"/>
      <family val="2"/>
      <charset val="134"/>
    </font>
    <font>
      <sz val="9"/>
      <color rgb="FF000000"/>
      <name val="Microsoft YaHei UI"/>
      <family val="2"/>
      <charset val="134"/>
    </font>
    <font>
      <sz val="11"/>
      <color rgb="FF000000"/>
      <name val="Aptos Narrow"/>
    </font>
    <font>
      <sz val="9"/>
      <color theme="1"/>
      <name val="Arial"/>
      <family val="2"/>
    </font>
    <font>
      <sz val="9"/>
      <name val="Arial"/>
      <family val="2"/>
    </font>
    <font>
      <sz val="12"/>
      <color theme="1"/>
      <name val="Helvetica"/>
      <family val="2"/>
    </font>
    <font>
      <sz val="12"/>
      <color rgb="FF333333"/>
      <name val="Calibri"/>
      <family val="2"/>
      <scheme val="minor"/>
    </font>
    <font>
      <sz val="11"/>
      <color rgb="FF000000"/>
      <name val="Calibri"/>
      <family val="2"/>
      <scheme val="minor"/>
    </font>
    <font>
      <sz val="9.5"/>
      <color theme="1"/>
      <name val="Arial"/>
      <family val="2"/>
    </font>
    <font>
      <sz val="9.5"/>
      <color theme="1"/>
      <name val="KaiTi"/>
      <charset val="134"/>
    </font>
  </fonts>
  <fills count="38">
    <fill>
      <patternFill patternType="none"/>
    </fill>
    <fill>
      <patternFill patternType="gray125"/>
    </fill>
    <fill>
      <patternFill patternType="solid">
        <fgColor theme="5" tint="0.79992065187536243"/>
        <bgColor indexed="65"/>
      </patternFill>
    </fill>
    <fill>
      <patternFill patternType="solid">
        <fgColor theme="3" tint="0.49992370372631001"/>
        <bgColor indexed="65"/>
      </patternFill>
    </fill>
    <fill>
      <patternFill patternType="solid">
        <fgColor theme="3" tint="0.89992980742820516"/>
        <bgColor indexed="65"/>
      </patternFill>
    </fill>
    <fill>
      <patternFill patternType="solid">
        <fgColor theme="5" tint="0.39997558519241921"/>
        <bgColor indexed="65"/>
      </patternFill>
    </fill>
    <fill>
      <patternFill patternType="solid">
        <fgColor theme="0" tint="-4.9989318521683403E-2"/>
        <bgColor indexed="65"/>
      </patternFill>
    </fill>
    <fill>
      <patternFill patternType="solid">
        <fgColor theme="5" tint="0.79985961485641044"/>
        <bgColor indexed="65"/>
      </patternFill>
    </fill>
    <fill>
      <patternFill patternType="solid">
        <fgColor theme="3" tint="0.89989928891872917"/>
        <bgColor indexed="65"/>
      </patternFill>
    </fill>
    <fill>
      <patternFill patternType="solid">
        <fgColor theme="5" tint="-0.249977111117893"/>
        <bgColor indexed="65"/>
      </patternFill>
    </fill>
    <fill>
      <patternFill patternType="solid">
        <fgColor rgb="FFC9815B"/>
      </patternFill>
    </fill>
    <fill>
      <patternFill patternType="solid">
        <fgColor rgb="FFDDC4B7"/>
      </patternFill>
    </fill>
    <fill>
      <patternFill patternType="solid">
        <fgColor rgb="FF4D93D9"/>
      </patternFill>
    </fill>
    <fill>
      <patternFill patternType="solid">
        <fgColor rgb="FFDAE9F8"/>
      </patternFill>
    </fill>
    <fill>
      <patternFill patternType="solid">
        <fgColor theme="5" tint="0.39973143711661124"/>
        <bgColor indexed="65"/>
      </patternFill>
    </fill>
    <fill>
      <patternFill patternType="solid">
        <fgColor theme="3" tint="0.49986266670735802"/>
        <bgColor indexed="65"/>
      </patternFill>
    </fill>
    <fill>
      <patternFill patternType="solid">
        <fgColor theme="3" tint="0.89999084444715716"/>
        <bgColor indexed="64"/>
      </patternFill>
    </fill>
    <fill>
      <patternFill patternType="solid">
        <fgColor theme="8" tint="0.79998168889431442"/>
        <bgColor indexed="64"/>
      </patternFill>
    </fill>
    <fill>
      <patternFill patternType="solid">
        <fgColor theme="5" tint="0.39997558519241921"/>
        <bgColor indexed="64"/>
      </patternFill>
    </fill>
    <fill>
      <patternFill patternType="solid">
        <fgColor theme="5" tint="0.79998168889431442"/>
        <bgColor indexed="64"/>
      </patternFill>
    </fill>
    <fill>
      <patternFill patternType="solid">
        <fgColor rgb="FFDEC4B8"/>
        <bgColor indexed="64"/>
      </patternFill>
    </fill>
    <fill>
      <patternFill patternType="solid">
        <fgColor theme="5" tint="-0.249977111117893"/>
        <bgColor indexed="64"/>
      </patternFill>
    </fill>
    <fill>
      <patternFill patternType="solid">
        <fgColor rgb="FFCA815B"/>
        <bgColor indexed="64"/>
      </patternFill>
    </fill>
    <fill>
      <patternFill patternType="solid">
        <fgColor rgb="FFF1A983"/>
        <bgColor indexed="64"/>
      </patternFill>
    </fill>
    <fill>
      <patternFill patternType="solid">
        <fgColor rgb="FFFCE2D6"/>
        <bgColor indexed="64"/>
      </patternFill>
    </fill>
    <fill>
      <patternFill patternType="solid">
        <fgColor theme="3" tint="0.499984740745262"/>
        <bgColor indexed="64"/>
      </patternFill>
    </fill>
    <fill>
      <patternFill patternType="solid">
        <fgColor theme="9" tint="0.79998168889431442"/>
        <bgColor indexed="64"/>
      </patternFill>
    </fill>
    <fill>
      <patternFill patternType="solid">
        <fgColor theme="2" tint="-9.9978637043366805E-2"/>
        <bgColor indexed="64"/>
      </patternFill>
    </fill>
    <fill>
      <patternFill patternType="solid">
        <fgColor rgb="FFFF0000"/>
        <bgColor indexed="64"/>
      </patternFill>
    </fill>
    <fill>
      <patternFill patternType="solid">
        <fgColor rgb="FFC0000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indexed="65"/>
        <bgColor indexed="64"/>
      </patternFill>
    </fill>
    <fill>
      <patternFill patternType="solid">
        <fgColor rgb="FFFFFF00"/>
        <bgColor indexed="64"/>
      </patternFill>
    </fill>
    <fill>
      <patternFill patternType="solid">
        <fgColor rgb="FFFBE3D6"/>
        <bgColor indexed="64"/>
      </patternFill>
    </fill>
    <fill>
      <patternFill patternType="solid">
        <fgColor rgb="FF8CDDFA"/>
        <bgColor indexed="64"/>
      </patternFill>
    </fill>
    <fill>
      <patternFill patternType="solid">
        <fgColor rgb="FFF2F2F2"/>
        <bgColor indexed="64"/>
      </patternFill>
    </fill>
    <fill>
      <patternFill patternType="solid">
        <fgColor rgb="FF001F60"/>
        <bgColor indexed="64"/>
      </patternFill>
    </fill>
  </fills>
  <borders count="5">
    <border>
      <left/>
      <right/>
      <top/>
      <bottom/>
      <diagonal/>
    </border>
    <border>
      <left style="thin">
        <color rgb="FF44B3E1"/>
      </left>
      <right/>
      <top style="thin">
        <color rgb="FF44B3E1"/>
      </top>
      <bottom style="thin">
        <color rgb="FF44B3E1"/>
      </bottom>
      <diagonal/>
    </border>
    <border>
      <left/>
      <right style="thin">
        <color rgb="FF44B3E1"/>
      </right>
      <top style="thin">
        <color rgb="FF44B3E1"/>
      </top>
      <bottom style="thin">
        <color rgb="FF44B3E1"/>
      </bottom>
      <diagonal/>
    </border>
    <border>
      <left/>
      <right/>
      <top style="medium">
        <color indexed="64"/>
      </top>
      <bottom/>
      <diagonal/>
    </border>
    <border>
      <left/>
      <right/>
      <top/>
      <bottom style="medium">
        <color indexed="64"/>
      </bottom>
      <diagonal/>
    </border>
  </borders>
  <cellStyleXfs count="2">
    <xf numFmtId="0" fontId="0" fillId="0" borderId="0"/>
    <xf numFmtId="0" fontId="3" fillId="0" borderId="0"/>
  </cellStyleXfs>
  <cellXfs count="204">
    <xf numFmtId="0" fontId="0" fillId="0" borderId="0" xfId="0"/>
    <xf numFmtId="0" fontId="0" fillId="2" borderId="0" xfId="0" applyFill="1"/>
    <xf numFmtId="0" fontId="0" fillId="3" borderId="0" xfId="0" applyFill="1"/>
    <xf numFmtId="0" fontId="0" fillId="4" borderId="0" xfId="0" applyFill="1"/>
    <xf numFmtId="0" fontId="0" fillId="5" borderId="0" xfId="0" applyFill="1"/>
    <xf numFmtId="0" fontId="4" fillId="0" borderId="0" xfId="0" applyFont="1" applyAlignment="1">
      <alignment vertical="center"/>
    </xf>
    <xf numFmtId="0" fontId="5" fillId="0" borderId="0" xfId="0" applyFont="1" applyAlignment="1">
      <alignment horizontal="left" vertical="center" wrapText="1"/>
    </xf>
    <xf numFmtId="0" fontId="6" fillId="0" borderId="0" xfId="0" applyFont="1" applyAlignment="1">
      <alignment horizontal="left" vertical="center"/>
    </xf>
    <xf numFmtId="0" fontId="6" fillId="0" borderId="0" xfId="0" applyFont="1" applyAlignment="1">
      <alignment horizontal="left" vertical="center" wrapText="1"/>
    </xf>
    <xf numFmtId="0" fontId="5" fillId="0" borderId="0" xfId="0" applyFont="1" applyAlignment="1">
      <alignment vertical="center"/>
    </xf>
    <xf numFmtId="0" fontId="9" fillId="0" borderId="0" xfId="0" applyFont="1" applyAlignment="1">
      <alignment horizontal="left" vertical="center"/>
    </xf>
    <xf numFmtId="0" fontId="11" fillId="0" borderId="0" xfId="0" applyFont="1" applyAlignment="1">
      <alignment horizontal="left" vertical="center"/>
    </xf>
    <xf numFmtId="0" fontId="12" fillId="0" borderId="0" xfId="0" applyFont="1" applyAlignment="1">
      <alignment horizontal="left" vertical="center" wrapText="1"/>
    </xf>
    <xf numFmtId="0" fontId="6" fillId="0" borderId="0" xfId="0" applyFont="1" applyAlignment="1">
      <alignment horizontal="left" wrapText="1"/>
    </xf>
    <xf numFmtId="0" fontId="11" fillId="0" borderId="0" xfId="0" applyFont="1" applyAlignment="1">
      <alignment vertical="center"/>
    </xf>
    <xf numFmtId="0" fontId="9" fillId="0" borderId="0" xfId="0" applyFont="1" applyAlignment="1">
      <alignment horizontal="left" wrapText="1"/>
    </xf>
    <xf numFmtId="0" fontId="11" fillId="0" borderId="0" xfId="0" applyFont="1" applyAlignment="1">
      <alignment horizontal="left" vertical="center" wrapText="1"/>
    </xf>
    <xf numFmtId="0" fontId="13" fillId="0" borderId="0" xfId="0" applyFont="1" applyAlignment="1">
      <alignment horizontal="left" vertical="center" wrapText="1"/>
    </xf>
    <xf numFmtId="0" fontId="6" fillId="0" borderId="0" xfId="0" applyFont="1" applyAlignment="1">
      <alignment vertical="center" wrapText="1"/>
    </xf>
    <xf numFmtId="0" fontId="9" fillId="0" borderId="0" xfId="0" applyFont="1" applyAlignment="1">
      <alignment vertical="center"/>
    </xf>
    <xf numFmtId="0" fontId="14" fillId="0" borderId="0" xfId="0" applyFont="1" applyAlignment="1">
      <alignment horizontal="left" vertical="center"/>
    </xf>
    <xf numFmtId="0" fontId="8" fillId="0" borderId="0" xfId="0" applyFont="1" applyAlignment="1">
      <alignment horizontal="left" vertical="center"/>
    </xf>
    <xf numFmtId="0" fontId="15" fillId="0" borderId="0" xfId="0" applyFont="1" applyAlignment="1">
      <alignment vertical="center"/>
    </xf>
    <xf numFmtId="0" fontId="3" fillId="0" borderId="0" xfId="1"/>
    <xf numFmtId="0" fontId="0" fillId="6" borderId="0" xfId="0" applyFill="1"/>
    <xf numFmtId="167" fontId="0" fillId="6" borderId="0" xfId="0" applyNumberFormat="1" applyFill="1"/>
    <xf numFmtId="0" fontId="17" fillId="8" borderId="0" xfId="0" applyFont="1" applyFill="1"/>
    <xf numFmtId="0" fontId="0" fillId="9" borderId="0" xfId="0" applyFill="1"/>
    <xf numFmtId="0" fontId="0" fillId="10" borderId="0" xfId="0" applyFill="1" applyAlignment="1">
      <alignment wrapText="1"/>
    </xf>
    <xf numFmtId="0" fontId="17" fillId="10" borderId="0" xfId="0" applyFont="1" applyFill="1" applyAlignment="1">
      <alignment wrapText="1"/>
    </xf>
    <xf numFmtId="0" fontId="0" fillId="11" borderId="0" xfId="0" applyFill="1"/>
    <xf numFmtId="0" fontId="0" fillId="7" borderId="0" xfId="0" applyFill="1"/>
    <xf numFmtId="0" fontId="0" fillId="0" borderId="0" xfId="0" applyAlignment="1">
      <alignment wrapText="1"/>
    </xf>
    <xf numFmtId="0" fontId="16" fillId="0" borderId="0" xfId="0" applyFont="1"/>
    <xf numFmtId="0" fontId="17" fillId="0" borderId="0" xfId="0" applyFont="1"/>
    <xf numFmtId="0" fontId="2" fillId="9" borderId="0" xfId="0" applyFont="1" applyFill="1"/>
    <xf numFmtId="0" fontId="2" fillId="10" borderId="0" xfId="0" applyFont="1" applyFill="1"/>
    <xf numFmtId="0" fontId="16" fillId="12" borderId="0" xfId="0" applyFont="1" applyFill="1"/>
    <xf numFmtId="0" fontId="16" fillId="13" borderId="0" xfId="0" applyFont="1" applyFill="1"/>
    <xf numFmtId="167" fontId="0" fillId="15" borderId="0" xfId="0" applyNumberFormat="1" applyFill="1"/>
    <xf numFmtId="0" fontId="17" fillId="16" borderId="0" xfId="0" applyFont="1" applyFill="1"/>
    <xf numFmtId="0" fontId="0" fillId="18" borderId="0" xfId="0" applyFill="1"/>
    <xf numFmtId="0" fontId="17" fillId="18" borderId="0" xfId="0" applyFont="1" applyFill="1" applyAlignment="1">
      <alignment wrapText="1"/>
    </xf>
    <xf numFmtId="0" fontId="0" fillId="19" borderId="0" xfId="0" applyFill="1"/>
    <xf numFmtId="0" fontId="17" fillId="20" borderId="0" xfId="0" applyFont="1" applyFill="1" applyAlignment="1">
      <alignment wrapText="1"/>
    </xf>
    <xf numFmtId="0" fontId="0" fillId="20" borderId="0" xfId="0" applyFill="1"/>
    <xf numFmtId="0" fontId="0" fillId="20" borderId="0" xfId="0" applyFill="1" applyAlignment="1">
      <alignment wrapText="1"/>
    </xf>
    <xf numFmtId="167" fontId="18" fillId="20" borderId="0" xfId="0" applyNumberFormat="1" applyFont="1" applyFill="1"/>
    <xf numFmtId="0" fontId="18" fillId="20" borderId="0" xfId="0" applyFont="1" applyFill="1"/>
    <xf numFmtId="0" fontId="0" fillId="21" borderId="0" xfId="0" applyFill="1"/>
    <xf numFmtId="0" fontId="17" fillId="21" borderId="0" xfId="0" applyFont="1" applyFill="1" applyAlignment="1">
      <alignment wrapText="1"/>
    </xf>
    <xf numFmtId="0" fontId="0" fillId="21" borderId="0" xfId="0" applyFill="1" applyAlignment="1">
      <alignment wrapText="1"/>
    </xf>
    <xf numFmtId="0" fontId="18" fillId="21" borderId="0" xfId="0" applyFont="1" applyFill="1"/>
    <xf numFmtId="0" fontId="0" fillId="22" borderId="0" xfId="0" applyFill="1"/>
    <xf numFmtId="0" fontId="17" fillId="22" borderId="0" xfId="0" applyFont="1" applyFill="1" applyAlignment="1">
      <alignment wrapText="1"/>
    </xf>
    <xf numFmtId="167" fontId="0" fillId="22" borderId="0" xfId="0" applyNumberFormat="1" applyFill="1"/>
    <xf numFmtId="0" fontId="0" fillId="22" borderId="0" xfId="0" applyFill="1" applyAlignment="1">
      <alignment wrapText="1"/>
    </xf>
    <xf numFmtId="0" fontId="18" fillId="22" borderId="0" xfId="0" applyFont="1" applyFill="1"/>
    <xf numFmtId="0" fontId="0" fillId="23" borderId="0" xfId="0" applyFill="1"/>
    <xf numFmtId="0" fontId="17" fillId="23" borderId="0" xfId="0" applyFont="1" applyFill="1" applyAlignment="1">
      <alignment wrapText="1"/>
    </xf>
    <xf numFmtId="0" fontId="0" fillId="23" borderId="0" xfId="0" applyFill="1" applyAlignment="1">
      <alignment wrapText="1"/>
    </xf>
    <xf numFmtId="0" fontId="18" fillId="23" borderId="0" xfId="0" applyFont="1" applyFill="1"/>
    <xf numFmtId="0" fontId="0" fillId="24" borderId="0" xfId="0" applyFill="1"/>
    <xf numFmtId="0" fontId="17" fillId="24" borderId="0" xfId="0" applyFont="1" applyFill="1" applyAlignment="1">
      <alignment wrapText="1"/>
    </xf>
    <xf numFmtId="0" fontId="0" fillId="24" borderId="0" xfId="0" applyFill="1" applyAlignment="1">
      <alignment wrapText="1"/>
    </xf>
    <xf numFmtId="0" fontId="19" fillId="24" borderId="0" xfId="0" applyFont="1" applyFill="1"/>
    <xf numFmtId="0" fontId="18" fillId="24" borderId="0" xfId="0" applyFont="1" applyFill="1"/>
    <xf numFmtId="14" fontId="0" fillId="25" borderId="0" xfId="0" applyNumberFormat="1" applyFill="1"/>
    <xf numFmtId="0" fontId="0" fillId="16" borderId="0" xfId="0" applyFill="1"/>
    <xf numFmtId="14" fontId="0" fillId="25" borderId="0" xfId="0" applyNumberFormat="1" applyFill="1" applyAlignment="1">
      <alignment wrapText="1"/>
    </xf>
    <xf numFmtId="0" fontId="17" fillId="16" borderId="0" xfId="0" applyFont="1" applyFill="1" applyAlignment="1">
      <alignment wrapText="1"/>
    </xf>
    <xf numFmtId="14" fontId="17" fillId="25" borderId="0" xfId="0" applyNumberFormat="1" applyFont="1" applyFill="1" applyAlignment="1">
      <alignment wrapText="1"/>
    </xf>
    <xf numFmtId="0" fontId="18" fillId="16" borderId="0" xfId="0" applyFont="1" applyFill="1"/>
    <xf numFmtId="0" fontId="0" fillId="17" borderId="0" xfId="0" applyFill="1"/>
    <xf numFmtId="167" fontId="18" fillId="17" borderId="0" xfId="0" applyNumberFormat="1" applyFont="1" applyFill="1"/>
    <xf numFmtId="0" fontId="19" fillId="17" borderId="0" xfId="0" applyFont="1" applyFill="1"/>
    <xf numFmtId="0" fontId="18" fillId="17" borderId="0" xfId="0" applyFont="1" applyFill="1"/>
    <xf numFmtId="0" fontId="0" fillId="17" borderId="0" xfId="0" applyFill="1" applyAlignment="1">
      <alignment wrapText="1"/>
    </xf>
    <xf numFmtId="0" fontId="17" fillId="17" borderId="0" xfId="0" applyFont="1" applyFill="1" applyAlignment="1">
      <alignment wrapText="1"/>
    </xf>
    <xf numFmtId="0" fontId="0" fillId="16" borderId="0" xfId="0" applyFill="1" applyAlignment="1">
      <alignment wrapText="1"/>
    </xf>
    <xf numFmtId="0" fontId="0" fillId="26" borderId="0" xfId="0" applyFill="1"/>
    <xf numFmtId="0" fontId="17" fillId="26" borderId="0" xfId="0" applyFont="1" applyFill="1"/>
    <xf numFmtId="0" fontId="0" fillId="27" borderId="0" xfId="0" applyFill="1"/>
    <xf numFmtId="0" fontId="17" fillId="27" borderId="0" xfId="0" applyFont="1" applyFill="1"/>
    <xf numFmtId="0" fontId="0" fillId="28" borderId="0" xfId="0" applyFill="1"/>
    <xf numFmtId="0" fontId="21" fillId="29" borderId="0" xfId="0" applyFont="1" applyFill="1" applyAlignment="1">
      <alignment horizontal="center" vertical="center"/>
    </xf>
    <xf numFmtId="0" fontId="0" fillId="0" borderId="0" xfId="0" applyAlignment="1">
      <alignment horizontal="center"/>
    </xf>
    <xf numFmtId="0" fontId="0" fillId="0" borderId="0" xfId="0" applyAlignment="1">
      <alignment horizontal="center" vertical="center"/>
    </xf>
    <xf numFmtId="0" fontId="0" fillId="0" borderId="0" xfId="0" applyAlignment="1">
      <alignment horizontal="center" vertical="center" wrapText="1"/>
    </xf>
    <xf numFmtId="0" fontId="17" fillId="0" borderId="0" xfId="0" applyFont="1" applyAlignment="1">
      <alignment horizontal="center" vertical="center" wrapText="1"/>
    </xf>
    <xf numFmtId="0" fontId="1" fillId="0" borderId="0" xfId="0" applyFont="1" applyAlignment="1">
      <alignment horizontal="center" vertical="center"/>
    </xf>
    <xf numFmtId="0" fontId="0" fillId="30" borderId="0" xfId="0" applyFill="1" applyAlignment="1">
      <alignment horizontal="center" vertical="center"/>
    </xf>
    <xf numFmtId="14" fontId="0" fillId="0" borderId="0" xfId="0" applyNumberFormat="1" applyAlignment="1">
      <alignment horizontal="center" vertical="center"/>
    </xf>
    <xf numFmtId="0" fontId="0" fillId="25" borderId="0" xfId="0" applyFill="1" applyAlignment="1">
      <alignment horizontal="center" vertical="center"/>
    </xf>
    <xf numFmtId="0" fontId="0" fillId="16" borderId="0" xfId="0" applyFill="1" applyAlignment="1">
      <alignment horizontal="center" vertical="center"/>
    </xf>
    <xf numFmtId="14" fontId="0" fillId="0" borderId="0" xfId="0" applyNumberFormat="1" applyAlignment="1">
      <alignment horizontal="center"/>
    </xf>
    <xf numFmtId="0" fontId="16" fillId="25" borderId="0" xfId="0" applyFont="1" applyFill="1" applyAlignment="1">
      <alignment horizontal="center" vertical="center"/>
    </xf>
    <xf numFmtId="0" fontId="16" fillId="16" borderId="0" xfId="0" applyFont="1" applyFill="1" applyAlignment="1">
      <alignment horizontal="center" vertical="center"/>
    </xf>
    <xf numFmtId="0" fontId="0" fillId="25" borderId="0" xfId="0" applyFill="1" applyAlignment="1">
      <alignment horizontal="center"/>
    </xf>
    <xf numFmtId="0" fontId="0" fillId="16" borderId="0" xfId="0" applyFill="1" applyAlignment="1">
      <alignment horizontal="center"/>
    </xf>
    <xf numFmtId="0" fontId="21" fillId="25" borderId="0" xfId="0" applyFont="1" applyFill="1" applyAlignment="1">
      <alignment horizontal="center" vertical="center"/>
    </xf>
    <xf numFmtId="0" fontId="17" fillId="17" borderId="0" xfId="0" applyFont="1" applyFill="1"/>
    <xf numFmtId="0" fontId="0" fillId="14" borderId="0" xfId="0" applyFill="1" applyAlignment="1">
      <alignment wrapText="1"/>
    </xf>
    <xf numFmtId="0" fontId="18" fillId="23" borderId="0" xfId="0" applyFont="1" applyFill="1" applyAlignment="1">
      <alignment wrapText="1"/>
    </xf>
    <xf numFmtId="0" fontId="5" fillId="16" borderId="0" xfId="0" applyFont="1" applyFill="1" applyAlignment="1">
      <alignment horizontal="center" vertical="center" wrapText="1"/>
    </xf>
    <xf numFmtId="0" fontId="0" fillId="0" borderId="0" xfId="0" applyAlignment="1">
      <alignment horizontal="left" vertical="center"/>
    </xf>
    <xf numFmtId="0" fontId="2" fillId="0" borderId="0" xfId="0" applyFont="1" applyAlignment="1">
      <alignment horizontal="center"/>
    </xf>
    <xf numFmtId="0" fontId="2" fillId="0" borderId="0" xfId="0" applyFont="1" applyAlignment="1">
      <alignment horizontal="left" vertical="center"/>
    </xf>
    <xf numFmtId="0" fontId="2" fillId="0" borderId="0" xfId="0" applyFont="1"/>
    <xf numFmtId="0" fontId="2" fillId="0" borderId="0" xfId="0" applyFont="1" applyAlignment="1">
      <alignment horizontal="center" vertical="center"/>
    </xf>
    <xf numFmtId="0" fontId="23" fillId="0" borderId="0" xfId="0" applyFont="1"/>
    <xf numFmtId="0" fontId="2" fillId="31" borderId="0" xfId="0" applyFont="1" applyFill="1" applyAlignment="1">
      <alignment horizontal="center" vertical="center" wrapText="1"/>
    </xf>
    <xf numFmtId="0" fontId="23" fillId="31" borderId="0" xfId="0" applyFont="1" applyFill="1"/>
    <xf numFmtId="0" fontId="2" fillId="19" borderId="0" xfId="0" applyFont="1" applyFill="1" applyAlignment="1">
      <alignment horizontal="center"/>
    </xf>
    <xf numFmtId="14" fontId="2" fillId="19" borderId="0" xfId="0" applyNumberFormat="1" applyFont="1" applyFill="1" applyAlignment="1">
      <alignment horizontal="center"/>
    </xf>
    <xf numFmtId="0" fontId="2" fillId="19" borderId="0" xfId="0" applyFont="1" applyFill="1"/>
    <xf numFmtId="0" fontId="2" fillId="19" borderId="0" xfId="0" applyFont="1" applyFill="1" applyAlignment="1">
      <alignment horizontal="left" vertical="center"/>
    </xf>
    <xf numFmtId="0" fontId="2" fillId="19" borderId="0" xfId="0" applyFont="1" applyFill="1" applyAlignment="1">
      <alignment horizontal="center" vertical="center"/>
    </xf>
    <xf numFmtId="0" fontId="23" fillId="19" borderId="0" xfId="0" applyFont="1" applyFill="1"/>
    <xf numFmtId="0" fontId="24" fillId="0" borderId="0" xfId="0" applyFont="1" applyAlignment="1">
      <alignment horizontal="center" vertical="center"/>
    </xf>
    <xf numFmtId="0" fontId="24" fillId="0" borderId="0" xfId="0" applyFont="1" applyAlignment="1">
      <alignment horizontal="center" vertical="center" wrapText="1"/>
    </xf>
    <xf numFmtId="0" fontId="3" fillId="16" borderId="0" xfId="1" applyFill="1" applyAlignment="1">
      <alignment wrapText="1"/>
    </xf>
    <xf numFmtId="0" fontId="24" fillId="31" borderId="0" xfId="0" applyFont="1" applyFill="1" applyAlignment="1">
      <alignment horizontal="center" vertical="center" wrapText="1"/>
    </xf>
    <xf numFmtId="14" fontId="24" fillId="31" borderId="0" xfId="0" applyNumberFormat="1" applyFont="1" applyFill="1" applyAlignment="1">
      <alignment horizontal="center" vertical="center" wrapText="1"/>
    </xf>
    <xf numFmtId="0" fontId="24" fillId="31" borderId="0" xfId="0" applyFont="1" applyFill="1" applyAlignment="1">
      <alignment vertical="center" wrapText="1"/>
    </xf>
    <xf numFmtId="0" fontId="28" fillId="31" borderId="0" xfId="0" applyFont="1" applyFill="1" applyAlignment="1">
      <alignment horizontal="center" vertical="center" wrapText="1"/>
    </xf>
    <xf numFmtId="0" fontId="24" fillId="19" borderId="0" xfId="0" applyFont="1" applyFill="1" applyAlignment="1">
      <alignment horizontal="center"/>
    </xf>
    <xf numFmtId="0" fontId="29" fillId="0" borderId="0" xfId="0" applyFont="1" applyAlignment="1">
      <alignment vertical="center"/>
    </xf>
    <xf numFmtId="0" fontId="29" fillId="0" borderId="0" xfId="0" applyFont="1" applyAlignment="1">
      <alignment horizontal="left" vertical="center"/>
    </xf>
    <xf numFmtId="0" fontId="30" fillId="0" borderId="0" xfId="0" applyFont="1" applyAlignment="1">
      <alignment horizontal="left" vertical="center" wrapText="1"/>
    </xf>
    <xf numFmtId="0" fontId="29" fillId="0" borderId="0" xfId="0" applyFont="1" applyAlignment="1">
      <alignment vertical="center" wrapText="1"/>
    </xf>
    <xf numFmtId="0" fontId="30" fillId="0" borderId="0" xfId="0" applyFont="1" applyAlignment="1">
      <alignment horizontal="left"/>
    </xf>
    <xf numFmtId="0" fontId="30" fillId="0" borderId="0" xfId="0" applyFont="1" applyAlignment="1">
      <alignment horizontal="left" wrapText="1"/>
    </xf>
    <xf numFmtId="0" fontId="31" fillId="0" borderId="0" xfId="0" applyFont="1" applyAlignment="1">
      <alignment horizontal="left" vertical="center" wrapText="1"/>
    </xf>
    <xf numFmtId="164" fontId="30" fillId="0" borderId="0" xfId="0" applyNumberFormat="1" applyFont="1" applyAlignment="1">
      <alignment horizontal="left" vertical="center" wrapText="1"/>
    </xf>
    <xf numFmtId="0" fontId="30" fillId="0" borderId="0" xfId="0" applyFont="1" applyAlignment="1">
      <alignment horizontal="left" vertical="center"/>
    </xf>
    <xf numFmtId="0" fontId="30" fillId="32" borderId="0" xfId="0" applyFont="1" applyFill="1" applyAlignment="1">
      <alignment horizontal="left" vertical="center" wrapText="1"/>
    </xf>
    <xf numFmtId="165" fontId="30" fillId="0" borderId="0" xfId="0" applyNumberFormat="1" applyFont="1" applyAlignment="1">
      <alignment horizontal="left" vertical="center" wrapText="1"/>
    </xf>
    <xf numFmtId="0" fontId="30" fillId="0" borderId="0" xfId="0" applyFont="1" applyAlignment="1">
      <alignment vertical="center"/>
    </xf>
    <xf numFmtId="0" fontId="30" fillId="34" borderId="0" xfId="0" applyFont="1" applyFill="1" applyAlignment="1">
      <alignment horizontal="left" vertical="center" wrapText="1"/>
    </xf>
    <xf numFmtId="0" fontId="32" fillId="0" borderId="0" xfId="0" applyFont="1" applyAlignment="1">
      <alignment horizontal="left" vertical="center"/>
    </xf>
    <xf numFmtId="0" fontId="32" fillId="0" borderId="0" xfId="0" applyFont="1" applyAlignment="1">
      <alignment vertical="center"/>
    </xf>
    <xf numFmtId="166" fontId="30" fillId="0" borderId="0" xfId="0" applyNumberFormat="1" applyFont="1" applyAlignment="1">
      <alignment horizontal="left" vertical="center"/>
    </xf>
    <xf numFmtId="165" fontId="30" fillId="0" borderId="0" xfId="0" applyNumberFormat="1" applyFont="1" applyAlignment="1">
      <alignment horizontal="left" vertical="center"/>
    </xf>
    <xf numFmtId="166" fontId="30" fillId="0" borderId="0" xfId="0" applyNumberFormat="1" applyFont="1" applyAlignment="1">
      <alignment horizontal="left" vertical="center" wrapText="1"/>
    </xf>
    <xf numFmtId="0" fontId="30" fillId="35" borderId="0" xfId="0" applyFont="1" applyFill="1" applyAlignment="1">
      <alignment horizontal="left" vertical="center" wrapText="1"/>
    </xf>
    <xf numFmtId="0" fontId="33" fillId="0" borderId="0" xfId="0" applyFont="1" applyAlignment="1">
      <alignment vertical="center"/>
    </xf>
    <xf numFmtId="0" fontId="34" fillId="0" borderId="0" xfId="0" applyFont="1" applyAlignment="1">
      <alignment vertical="center"/>
    </xf>
    <xf numFmtId="0" fontId="32" fillId="0" borderId="0" xfId="0" applyFont="1" applyAlignment="1">
      <alignment horizontal="left" vertical="center" wrapText="1"/>
    </xf>
    <xf numFmtId="0" fontId="15" fillId="0" borderId="0" xfId="0" applyFont="1" applyAlignment="1">
      <alignment horizontal="left"/>
    </xf>
    <xf numFmtId="20" fontId="0" fillId="0" borderId="0" xfId="0" applyNumberFormat="1" applyAlignment="1">
      <alignment horizontal="center" vertical="center"/>
    </xf>
    <xf numFmtId="0" fontId="6" fillId="0" borderId="0" xfId="0" applyFont="1" applyAlignment="1">
      <alignment horizontal="left"/>
    </xf>
    <xf numFmtId="0" fontId="35" fillId="33" borderId="0" xfId="0" applyFont="1" applyFill="1" applyAlignment="1">
      <alignment horizontal="left"/>
    </xf>
    <xf numFmtId="0" fontId="10" fillId="0" borderId="0" xfId="0" applyFont="1" applyAlignment="1">
      <alignment horizontal="left"/>
    </xf>
    <xf numFmtId="0" fontId="6" fillId="0" borderId="0" xfId="0" applyFont="1" applyAlignment="1">
      <alignment vertical="center"/>
    </xf>
    <xf numFmtId="0" fontId="11" fillId="0" borderId="0" xfId="0" applyFont="1" applyAlignment="1">
      <alignment horizontal="left"/>
    </xf>
    <xf numFmtId="0" fontId="9" fillId="0" borderId="0" xfId="0" applyFont="1" applyAlignment="1">
      <alignment horizontal="left"/>
    </xf>
    <xf numFmtId="0" fontId="15" fillId="0" borderId="0" xfId="0" applyFont="1" applyAlignment="1">
      <alignment horizontal="left" wrapText="1"/>
    </xf>
    <xf numFmtId="0" fontId="8" fillId="0" borderId="0" xfId="0" applyFont="1" applyAlignment="1">
      <alignment horizontal="left"/>
    </xf>
    <xf numFmtId="0" fontId="8" fillId="0" borderId="0" xfId="0" applyFont="1" applyAlignment="1">
      <alignment vertical="center"/>
    </xf>
    <xf numFmtId="0" fontId="4" fillId="0" borderId="0" xfId="0" applyFont="1" applyAlignment="1">
      <alignment horizontal="left"/>
    </xf>
    <xf numFmtId="0" fontId="36" fillId="0" borderId="0" xfId="0" applyFont="1" applyAlignment="1">
      <alignment horizontal="justify" vertical="center"/>
    </xf>
    <xf numFmtId="0" fontId="37" fillId="0" borderId="0" xfId="0" applyFont="1" applyAlignment="1">
      <alignment vertical="center"/>
    </xf>
    <xf numFmtId="0" fontId="36" fillId="0" borderId="0" xfId="0" applyFont="1" applyAlignment="1">
      <alignment horizontal="center" vertical="center"/>
    </xf>
    <xf numFmtId="0" fontId="38" fillId="0" borderId="0" xfId="0" applyFont="1"/>
    <xf numFmtId="0" fontId="0" fillId="0" borderId="0" xfId="0" applyAlignment="1">
      <alignment horizontal="left" vertical="center" wrapText="1"/>
    </xf>
    <xf numFmtId="0" fontId="2" fillId="36" borderId="0" xfId="0" applyFont="1" applyFill="1" applyAlignment="1">
      <alignment horizontal="center" vertical="center" wrapText="1"/>
    </xf>
    <xf numFmtId="0" fontId="24" fillId="36" borderId="0" xfId="0" applyFont="1" applyFill="1" applyAlignment="1">
      <alignment horizontal="center" vertical="center" wrapText="1"/>
    </xf>
    <xf numFmtId="0" fontId="28" fillId="36" borderId="0" xfId="0" applyFont="1" applyFill="1" applyAlignment="1">
      <alignment horizontal="center" vertical="center" wrapText="1"/>
    </xf>
    <xf numFmtId="0" fontId="24" fillId="36" borderId="0" xfId="0" applyFont="1" applyFill="1" applyAlignment="1">
      <alignment vertical="center" wrapText="1"/>
    </xf>
    <xf numFmtId="0" fontId="23" fillId="36" borderId="0" xfId="0" applyFont="1" applyFill="1"/>
    <xf numFmtId="14" fontId="2" fillId="36" borderId="0" xfId="0" applyNumberFormat="1" applyFont="1" applyFill="1" applyAlignment="1">
      <alignment horizontal="center" vertical="center" wrapText="1"/>
    </xf>
    <xf numFmtId="0" fontId="33" fillId="0" borderId="0" xfId="0" applyFont="1" applyAlignment="1">
      <alignment horizontal="left" vertical="center" wrapText="1"/>
    </xf>
    <xf numFmtId="164" fontId="30" fillId="0" borderId="0" xfId="0" applyNumberFormat="1" applyFont="1" applyAlignment="1">
      <alignment horizontal="left" vertical="center"/>
    </xf>
    <xf numFmtId="165" fontId="30" fillId="34" borderId="0" xfId="0" applyNumberFormat="1" applyFont="1" applyFill="1" applyAlignment="1">
      <alignment horizontal="left" vertical="center" wrapText="1"/>
    </xf>
    <xf numFmtId="165" fontId="30" fillId="34" borderId="0" xfId="0" applyNumberFormat="1" applyFont="1" applyFill="1" applyAlignment="1">
      <alignment horizontal="left" vertical="center"/>
    </xf>
    <xf numFmtId="0" fontId="7" fillId="0" borderId="0" xfId="0" applyFont="1" applyAlignment="1">
      <alignment vertical="center"/>
    </xf>
    <xf numFmtId="0" fontId="34" fillId="0" borderId="0" xfId="0" applyFont="1" applyAlignment="1">
      <alignment horizontal="left" vertical="center"/>
    </xf>
    <xf numFmtId="164" fontId="30" fillId="0" borderId="0" xfId="0" applyNumberFormat="1" applyFont="1" applyAlignment="1">
      <alignment vertical="center"/>
    </xf>
    <xf numFmtId="0" fontId="9" fillId="0" borderId="0" xfId="0" applyFont="1" applyAlignment="1">
      <alignment vertical="center" wrapText="1"/>
    </xf>
    <xf numFmtId="0" fontId="8" fillId="0" borderId="0" xfId="0" applyFont="1" applyAlignment="1">
      <alignment vertical="center" wrapText="1"/>
    </xf>
    <xf numFmtId="0" fontId="39" fillId="0" borderId="0" xfId="0" applyFont="1" applyAlignment="1">
      <alignment horizontal="left"/>
    </xf>
    <xf numFmtId="0" fontId="15" fillId="0" borderId="0" xfId="0" applyFont="1" applyAlignment="1">
      <alignment vertical="center" wrapText="1"/>
    </xf>
    <xf numFmtId="0" fontId="40" fillId="0" borderId="0" xfId="0" applyFont="1" applyAlignment="1">
      <alignment vertical="center"/>
    </xf>
    <xf numFmtId="0" fontId="16" fillId="0" borderId="1" xfId="0" applyFont="1" applyBorder="1" applyAlignment="1">
      <alignment horizontal="left"/>
    </xf>
    <xf numFmtId="0" fontId="16" fillId="0" borderId="2" xfId="0" applyFont="1" applyBorder="1" applyAlignment="1">
      <alignment horizontal="left"/>
    </xf>
    <xf numFmtId="0" fontId="16" fillId="0" borderId="0" xfId="0" applyFont="1" applyAlignment="1">
      <alignment horizontal="left"/>
    </xf>
    <xf numFmtId="0" fontId="2" fillId="0" borderId="0" xfId="0" applyFont="1" applyAlignment="1">
      <alignment horizontal="center" vertical="center" wrapText="1"/>
    </xf>
    <xf numFmtId="14" fontId="2" fillId="0" borderId="0" xfId="0" applyNumberFormat="1" applyFont="1" applyAlignment="1">
      <alignment horizontal="center" vertical="center" wrapText="1"/>
    </xf>
    <xf numFmtId="0" fontId="28" fillId="0" borderId="0" xfId="0" applyFont="1" applyAlignment="1">
      <alignment horizontal="center" vertical="center" wrapText="1"/>
    </xf>
    <xf numFmtId="0" fontId="24" fillId="0" borderId="0" xfId="0" applyFont="1" applyAlignment="1">
      <alignment vertical="center" wrapText="1"/>
    </xf>
    <xf numFmtId="0" fontId="24" fillId="0" borderId="0" xfId="0" applyFont="1"/>
    <xf numFmtId="0" fontId="4" fillId="0" borderId="0" xfId="0" applyFont="1" applyAlignment="1">
      <alignment horizontal="left" vertical="center" wrapText="1"/>
    </xf>
    <xf numFmtId="0" fontId="11" fillId="0" borderId="0" xfId="0" applyFont="1" applyAlignment="1">
      <alignment horizontal="left" wrapText="1"/>
    </xf>
    <xf numFmtId="0" fontId="16" fillId="0" borderId="0" xfId="0" applyFont="1" applyAlignment="1">
      <alignment wrapText="1"/>
    </xf>
    <xf numFmtId="0" fontId="41" fillId="0" borderId="0" xfId="0" applyFont="1" applyAlignment="1">
      <alignment horizontal="center" vertical="center" wrapText="1"/>
    </xf>
    <xf numFmtId="0" fontId="42" fillId="0" borderId="0" xfId="0" applyFont="1" applyAlignment="1">
      <alignment horizontal="center" vertical="center" wrapText="1"/>
    </xf>
    <xf numFmtId="0" fontId="41" fillId="0" borderId="3" xfId="0" applyFont="1" applyBorder="1" applyAlignment="1">
      <alignment horizontal="center" vertical="center" wrapText="1"/>
    </xf>
    <xf numFmtId="0" fontId="42" fillId="0" borderId="4" xfId="0" applyFont="1" applyBorder="1" applyAlignment="1">
      <alignment horizontal="center" vertical="center" wrapText="1"/>
    </xf>
    <xf numFmtId="0" fontId="21" fillId="0" borderId="0" xfId="0" applyFont="1"/>
    <xf numFmtId="0" fontId="21" fillId="37" borderId="0" xfId="0" applyFont="1" applyFill="1" applyAlignment="1">
      <alignment horizontal="center" vertical="center" wrapText="1"/>
    </xf>
    <xf numFmtId="0" fontId="0" fillId="0" borderId="0" xfId="0" applyAlignment="1">
      <alignment horizontal="left" vertical="top" wrapText="1"/>
    </xf>
    <xf numFmtId="0" fontId="0" fillId="0" borderId="0" xfId="0" applyAlignment="1">
      <alignment horizontal="center" wrapText="1"/>
    </xf>
    <xf numFmtId="0" fontId="22" fillId="0" borderId="0" xfId="0" applyFont="1" applyAlignment="1">
      <alignment horizontal="center" vertical="center"/>
    </xf>
  </cellXfs>
  <cellStyles count="2">
    <cellStyle name="Hyperlink" xfId="1" xr:uid="{00000000-0005-0000-0000-000001000000}"/>
    <cellStyle name="Normal" xfId="0" builtinId="0"/>
  </cellStyles>
  <dxfs count="6">
    <dxf>
      <font>
        <b val="0"/>
        <i val="0"/>
        <strike val="0"/>
        <condense val="0"/>
        <extend val="0"/>
        <outline val="0"/>
        <shadow val="0"/>
        <u val="none"/>
        <vertAlign val="baseline"/>
        <sz val="10"/>
        <color rgb="FF000000"/>
        <name val="Microsoft YaHei UI"/>
        <family val="2"/>
        <scheme val="none"/>
      </font>
      <alignment horizontal="left" vertical="bottom" textRotation="0" wrapText="0" indent="0" justifyLastLine="0" shrinkToFit="0" readingOrder="0"/>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dxf>
    <dxf>
      <font>
        <color rgb="FF9C0006"/>
      </font>
      <fill>
        <patternFill>
          <bgColor rgb="FFFFC7CE"/>
        </patternFill>
      </fill>
    </dxf>
  </dxfs>
  <tableStyles count="0" defaultTableStyle="TableStyleMedium2" defaultPivotStyle="PivotStyleLight16"/>
  <colors>
    <mruColors>
      <color rgb="FF001F60"/>
      <color rgb="FFFCE2D6"/>
      <color rgb="FFF1A983"/>
      <color rgb="FFDEC4B8"/>
      <color rgb="FFCA815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microsoft.com/office/2017/06/relationships/rdRichValueTypes" Target="richData/rdRichValueType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17/06/relationships/rdRichValueStructure" Target="richData/rdrichvaluestructure.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17/06/relationships/rdRichValue" Target="richData/rdrichvalue.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127000</xdr:colOff>
          <xdr:row>7</xdr:row>
          <xdr:rowOff>50800</xdr:rowOff>
        </xdr:from>
        <xdr:to>
          <xdr:col>9</xdr:col>
          <xdr:colOff>304800</xdr:colOff>
          <xdr:row>10</xdr:row>
          <xdr:rowOff>127000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2000" b="0" i="0" u="none" strike="noStrike" baseline="0">
                  <a:solidFill>
                    <a:srgbClr val="000000"/>
                  </a:solidFill>
                  <a:latin typeface="Calibri" pitchFamily="2" charset="0"/>
                  <a:cs typeface="Calibri" pitchFamily="2" charset="0"/>
                </a:rPr>
                <a:t>加到</a:t>
              </a:r>
              <a:r>
                <a:rPr lang="en-US" sz="2000" b="0" i="0" u="none" strike="noStrike" baseline="0">
                  <a:solidFill>
                    <a:srgbClr val="000000"/>
                  </a:solidFill>
                  <a:latin typeface="Aptos Narrow" charset="0"/>
                  <a:cs typeface="Calibri" pitchFamily="2" charset="0"/>
                </a:rPr>
                <a:t>Tracker</a:t>
              </a:r>
              <a:endParaRPr lang="en-US" sz="2000" b="0" i="0" u="none" strike="noStrike" baseline="0">
                <a:solidFill>
                  <a:srgbClr val="000000"/>
                </a:solidFill>
                <a:latin typeface="Aptos Narrow" charset="0"/>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7</xdr:row>
          <xdr:rowOff>63500</xdr:rowOff>
        </xdr:from>
        <xdr:to>
          <xdr:col>6</xdr:col>
          <xdr:colOff>1206500</xdr:colOff>
          <xdr:row>10</xdr:row>
          <xdr:rowOff>127000</xdr:rowOff>
        </xdr:to>
        <xdr:sp macro="" textlink="">
          <xdr:nvSpPr>
            <xdr:cNvPr id="2050" name="Button 2" descr="Paste Value and Save"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800" b="0" i="0" u="none" strike="noStrike" baseline="0">
                  <a:solidFill>
                    <a:srgbClr val="000000"/>
                  </a:solidFill>
                  <a:latin typeface="Aptos Narrow" charset="0"/>
                </a:rPr>
                <a:t>Paste Value </a:t>
              </a:r>
            </a:p>
            <a:p>
              <a:pPr algn="ctr" rtl="0">
                <a:defRPr sz="1000"/>
              </a:pPr>
              <a:r>
                <a:rPr lang="en-US" sz="1800" b="0" i="0" u="none" strike="noStrike" baseline="0">
                  <a:solidFill>
                    <a:srgbClr val="000000"/>
                  </a:solidFill>
                  <a:latin typeface="Aptos Narrow" charset="0"/>
                </a:rPr>
                <a:t>and Save</a:t>
              </a:r>
            </a:p>
          </xdr:txBody>
        </xdr:sp>
        <xdr:clientData fPrintsWithSheet="0"/>
      </xdr:twoCellAnchor>
    </mc:Choice>
    <mc:Fallback/>
  </mc:AlternateContent>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2">
  <rv s="0">
    <v>13</v>
    <v>1</v>
  </rv>
  <rv s="1">
    <v>13</v>
    <v>3</v>
  </rv>
</rvData>
</file>

<file path=xl/richData/rdrichvaluestructure.xml><?xml version="1.0" encoding="utf-8"?>
<rvStructures xmlns="http://schemas.microsoft.com/office/spreadsheetml/2017/richdata" count="2">
  <s t="_error">
    <k n="errorType" t="i"/>
    <k n="propagated" t="b"/>
  </s>
  <s t="_error">
    <k n="errorType" t="i"/>
    <k n="subType" t="i"/>
  </s>
</rvStructure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91E8F10-5BBA-534B-B5E7-82A9A5AA6C96}" name="CompanyName1" displayName="CompanyName1" ref="C2:D996" totalsRowShown="0" headerRowDxfId="0">
  <autoFilter ref="C2:D996" xr:uid="{A91E8F10-5BBA-534B-B5E7-82A9A5AA6C96}"/>
  <tableColumns count="2">
    <tableColumn id="1" xr3:uid="{EE31752F-5AB1-2E41-808F-EF2E7957CFE7}" name="机构名称（中文）"/>
    <tableColumn id="2" xr3:uid="{6A3BAED9-0E69-7A4C-9422-E452E6E969F9}" name="机构名称（英文）"/>
  </tableColumns>
  <tableStyleInfo name="TableStyleMedium2" showFirstColumn="0" showLastColumn="0" showRowStripes="1" showColumnStripes="0"/>
</table>
</file>

<file path=xl/theme/theme1.xml><?xml version="1.0" encoding="utf-8"?>
<a:theme xmlns:a="http://schemas.openxmlformats.org/drawingml/2006/main" name="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Calibri"/>
        <a:ea typeface="Calibri"/>
        <a:cs typeface="Calibri"/>
      </a:majorFont>
      <a:minorFont>
        <a:latin typeface="Calibri"/>
        <a:ea typeface="Calibri"/>
        <a:cs typeface="Calibri"/>
      </a:minorFont>
    </a:fontScheme>
    <a:fmtScheme name="Office">
      <a:fillStyleLst>
        <a:solidFill>
          <a:schemeClr val="phClr"/>
        </a:solidFill>
        <a:solidFill>
          <a:schemeClr val="dk1"/>
        </a:solidFill>
        <a:solidFill>
          <a:schemeClr val="accent1"/>
        </a:solidFill>
      </a:fillStyleLst>
      <a:lnStyleLst>
        <a:ln w="12700">
          <a:solidFill>
            <a:schemeClr val="phClr"/>
          </a:solidFill>
          <a:prstDash val="solid"/>
        </a:ln>
        <a:ln w="19050">
          <a:solidFill>
            <a:schemeClr val="phClr"/>
          </a:solidFill>
          <a:prstDash val="solid"/>
        </a:ln>
        <a:ln w="25400">
          <a:solidFill>
            <a:schemeClr val="phClr"/>
          </a:solidFill>
          <a:prstDash val="solid"/>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a:gsLst>
            <a:gs pos="0">
              <a:schemeClr val="phClr">
                <a:tint val="93000"/>
                <a:shade val="98000"/>
                <a:lumMod val="102000"/>
                <a:satMod val="150000"/>
              </a:schemeClr>
            </a:gs>
            <a:gs pos="50000">
              <a:schemeClr val="phClr">
                <a:tint val="98000"/>
                <a:shade val="90000"/>
                <a:lumMod val="103000"/>
                <a:satMod val="130000"/>
              </a:schemeClr>
            </a:gs>
            <a:gs pos="100000">
              <a:schemeClr val="phClr">
                <a:shade val="63000"/>
                <a:satMod val="120000"/>
              </a:schemeClr>
            </a:gs>
          </a:gsLst>
          <a:lin ang="5400000" scaled="0"/>
        </a:gra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KZ2"/>
  <sheetViews>
    <sheetView zoomScale="139" workbookViewId="0">
      <selection sqref="A1:XFD2"/>
    </sheetView>
  </sheetViews>
  <sheetFormatPr baseColWidth="10" defaultRowHeight="16"/>
  <cols>
    <col min="1" max="1" width="15" customWidth="1"/>
    <col min="2" max="2" width="17.33203125" customWidth="1"/>
    <col min="3" max="4" width="23.5" customWidth="1"/>
    <col min="5" max="5" width="15" customWidth="1"/>
    <col min="30" max="30" width="12.1640625" customWidth="1"/>
    <col min="61" max="61" width="13.5" customWidth="1"/>
    <col min="71" max="71" width="13.5" customWidth="1"/>
  </cols>
  <sheetData>
    <row r="1" spans="1:312">
      <c r="A1" s="24" t="s">
        <v>0</v>
      </c>
      <c r="B1" s="24" t="s">
        <v>1</v>
      </c>
      <c r="C1" s="24" t="s">
        <v>2</v>
      </c>
      <c r="D1" s="24" t="s">
        <v>3</v>
      </c>
      <c r="E1" s="2" t="s">
        <v>4</v>
      </c>
      <c r="F1" s="3" t="s">
        <v>5</v>
      </c>
      <c r="G1" s="35" t="s">
        <v>6</v>
      </c>
      <c r="H1" s="36" t="s">
        <v>7</v>
      </c>
      <c r="I1" s="4" t="s">
        <v>8</v>
      </c>
      <c r="J1" s="30" t="s">
        <v>9</v>
      </c>
      <c r="K1" s="1" t="s">
        <v>10</v>
      </c>
      <c r="L1" s="35" t="s">
        <v>11</v>
      </c>
      <c r="M1" s="36" t="s">
        <v>12</v>
      </c>
      <c r="N1" s="4" t="s">
        <v>13</v>
      </c>
      <c r="O1" s="30" t="s">
        <v>14</v>
      </c>
      <c r="P1" s="1" t="s">
        <v>15</v>
      </c>
      <c r="Q1" s="35" t="s">
        <v>16</v>
      </c>
      <c r="R1" s="36" t="s">
        <v>17</v>
      </c>
      <c r="S1" s="41" t="s">
        <v>18</v>
      </c>
      <c r="T1" s="45" t="s">
        <v>19</v>
      </c>
      <c r="U1" s="1" t="s">
        <v>20</v>
      </c>
      <c r="V1" s="35" t="s">
        <v>21</v>
      </c>
      <c r="W1" s="36" t="s">
        <v>22</v>
      </c>
      <c r="X1" s="4" t="s">
        <v>23</v>
      </c>
      <c r="Y1" s="30" t="s">
        <v>24</v>
      </c>
      <c r="Z1" s="62" t="s">
        <v>25</v>
      </c>
      <c r="AA1" s="35" t="s">
        <v>26</v>
      </c>
      <c r="AB1" s="36" t="s">
        <v>27</v>
      </c>
      <c r="AC1" s="4" t="s">
        <v>28</v>
      </c>
      <c r="AD1" s="30" t="s">
        <v>29</v>
      </c>
      <c r="AE1" s="62" t="s">
        <v>30</v>
      </c>
      <c r="AF1" s="35" t="s">
        <v>31</v>
      </c>
      <c r="AG1" s="36" t="s">
        <v>32</v>
      </c>
      <c r="AH1" s="4" t="s">
        <v>33</v>
      </c>
      <c r="AI1" s="30" t="s">
        <v>34</v>
      </c>
      <c r="AJ1" s="62" t="s">
        <v>35</v>
      </c>
      <c r="AK1" s="2" t="s">
        <v>36</v>
      </c>
      <c r="AL1" s="3" t="s">
        <v>37</v>
      </c>
      <c r="AM1" s="35" t="s">
        <v>38</v>
      </c>
      <c r="AN1" s="36" t="s">
        <v>39</v>
      </c>
      <c r="AO1" s="4" t="s">
        <v>40</v>
      </c>
      <c r="AP1" s="30" t="s">
        <v>41</v>
      </c>
      <c r="AQ1" s="1" t="s">
        <v>42</v>
      </c>
      <c r="AR1" s="35" t="s">
        <v>43</v>
      </c>
      <c r="AS1" s="36" t="s">
        <v>44</v>
      </c>
      <c r="AT1" s="4" t="s">
        <v>45</v>
      </c>
      <c r="AU1" s="30" t="s">
        <v>46</v>
      </c>
      <c r="AV1" s="1" t="s">
        <v>47</v>
      </c>
      <c r="AW1" s="35" t="s">
        <v>48</v>
      </c>
      <c r="AX1" s="36" t="s">
        <v>49</v>
      </c>
      <c r="AY1" s="41" t="s">
        <v>50</v>
      </c>
      <c r="AZ1" s="45" t="s">
        <v>51</v>
      </c>
      <c r="BA1" s="1" t="s">
        <v>52</v>
      </c>
      <c r="BB1" s="35" t="s">
        <v>53</v>
      </c>
      <c r="BC1" s="36" t="s">
        <v>54</v>
      </c>
      <c r="BD1" s="4" t="s">
        <v>55</v>
      </c>
      <c r="BE1" s="30" t="s">
        <v>56</v>
      </c>
      <c r="BF1" s="62" t="s">
        <v>57</v>
      </c>
      <c r="BG1" s="35" t="s">
        <v>58</v>
      </c>
      <c r="BH1" s="36" t="s">
        <v>59</v>
      </c>
      <c r="BI1" s="4" t="s">
        <v>60</v>
      </c>
      <c r="BJ1" s="30" t="s">
        <v>61</v>
      </c>
      <c r="BK1" s="62" t="s">
        <v>62</v>
      </c>
      <c r="BL1" s="35" t="s">
        <v>63</v>
      </c>
      <c r="BM1" s="36" t="s">
        <v>64</v>
      </c>
      <c r="BN1" s="4" t="s">
        <v>65</v>
      </c>
      <c r="BO1" s="30" t="s">
        <v>66</v>
      </c>
      <c r="BP1" s="62" t="s">
        <v>67</v>
      </c>
      <c r="BQ1" s="37" t="s">
        <v>68</v>
      </c>
      <c r="BR1" s="38" t="s">
        <v>69</v>
      </c>
      <c r="BS1" s="35" t="s">
        <v>70</v>
      </c>
      <c r="BT1" s="36" t="s">
        <v>71</v>
      </c>
      <c r="BU1" s="4" t="s">
        <v>72</v>
      </c>
      <c r="BV1" s="30" t="s">
        <v>73</v>
      </c>
      <c r="BW1" s="1" t="s">
        <v>74</v>
      </c>
      <c r="BX1" s="35" t="s">
        <v>75</v>
      </c>
      <c r="BY1" s="36" t="s">
        <v>76</v>
      </c>
      <c r="BZ1" s="4" t="s">
        <v>77</v>
      </c>
      <c r="CA1" s="30" t="s">
        <v>78</v>
      </c>
      <c r="CB1" s="1" t="s">
        <v>79</v>
      </c>
      <c r="CC1" s="35" t="s">
        <v>80</v>
      </c>
      <c r="CD1" s="36" t="s">
        <v>81</v>
      </c>
      <c r="CE1" s="41" t="s">
        <v>82</v>
      </c>
      <c r="CF1" s="45" t="s">
        <v>83</v>
      </c>
      <c r="CG1" s="1" t="s">
        <v>84</v>
      </c>
      <c r="CH1" s="35" t="s">
        <v>85</v>
      </c>
      <c r="CI1" s="36" t="s">
        <v>86</v>
      </c>
      <c r="CJ1" s="4" t="s">
        <v>87</v>
      </c>
      <c r="CK1" s="30" t="s">
        <v>88</v>
      </c>
      <c r="CL1" s="62" t="s">
        <v>89</v>
      </c>
      <c r="CM1" s="35" t="s">
        <v>90</v>
      </c>
      <c r="CN1" s="36" t="s">
        <v>91</v>
      </c>
      <c r="CO1" s="4" t="s">
        <v>92</v>
      </c>
      <c r="CP1" s="30" t="s">
        <v>93</v>
      </c>
      <c r="CQ1" s="62" t="s">
        <v>94</v>
      </c>
      <c r="CR1" s="35" t="s">
        <v>95</v>
      </c>
      <c r="CS1" s="36" t="s">
        <v>96</v>
      </c>
      <c r="CT1" s="4" t="s">
        <v>97</v>
      </c>
      <c r="CU1" s="30" t="s">
        <v>98</v>
      </c>
      <c r="CV1" s="62" t="s">
        <v>99</v>
      </c>
      <c r="CW1" s="37" t="s">
        <v>100</v>
      </c>
      <c r="CX1" s="38" t="s">
        <v>101</v>
      </c>
      <c r="CY1" s="35" t="s">
        <v>102</v>
      </c>
      <c r="CZ1" s="36" t="s">
        <v>103</v>
      </c>
      <c r="DA1" s="4" t="s">
        <v>104</v>
      </c>
      <c r="DB1" s="30" t="s">
        <v>105</v>
      </c>
      <c r="DC1" s="1" t="s">
        <v>106</v>
      </c>
      <c r="DD1" s="35" t="s">
        <v>107</v>
      </c>
      <c r="DE1" s="36" t="s">
        <v>108</v>
      </c>
      <c r="DF1" s="4" t="s">
        <v>109</v>
      </c>
      <c r="DG1" s="30" t="s">
        <v>110</v>
      </c>
      <c r="DH1" s="1" t="s">
        <v>111</v>
      </c>
      <c r="DI1" s="35" t="s">
        <v>112</v>
      </c>
      <c r="DJ1" s="36" t="s">
        <v>113</v>
      </c>
      <c r="DK1" s="41" t="s">
        <v>114</v>
      </c>
      <c r="DL1" s="45" t="s">
        <v>115</v>
      </c>
      <c r="DM1" s="1" t="s">
        <v>116</v>
      </c>
      <c r="DN1" s="35" t="s">
        <v>117</v>
      </c>
      <c r="DO1" s="36" t="s">
        <v>118</v>
      </c>
      <c r="DP1" s="4" t="s">
        <v>119</v>
      </c>
      <c r="DQ1" s="30" t="s">
        <v>120</v>
      </c>
      <c r="DR1" s="62" t="s">
        <v>121</v>
      </c>
      <c r="DS1" s="35" t="s">
        <v>122</v>
      </c>
      <c r="DT1" s="36" t="s">
        <v>123</v>
      </c>
      <c r="DU1" s="4" t="s">
        <v>124</v>
      </c>
      <c r="DV1" s="30" t="s">
        <v>125</v>
      </c>
      <c r="DW1" s="62" t="s">
        <v>126</v>
      </c>
      <c r="DX1" s="35" t="s">
        <v>127</v>
      </c>
      <c r="DY1" s="36" t="s">
        <v>128</v>
      </c>
      <c r="DZ1" s="4" t="s">
        <v>129</v>
      </c>
      <c r="EA1" s="30" t="s">
        <v>130</v>
      </c>
      <c r="EB1" s="62" t="s">
        <v>131</v>
      </c>
      <c r="EC1" s="73" t="s">
        <v>132</v>
      </c>
      <c r="ED1" s="73" t="s">
        <v>133</v>
      </c>
      <c r="EE1" s="73" t="s">
        <v>134</v>
      </c>
      <c r="EF1" s="73" t="s">
        <v>135</v>
      </c>
      <c r="EG1" s="73" t="s">
        <v>136</v>
      </c>
      <c r="EH1" s="73" t="s">
        <v>137</v>
      </c>
      <c r="EI1" s="73" t="s">
        <v>138</v>
      </c>
      <c r="EJ1" s="73" t="s">
        <v>139</v>
      </c>
      <c r="EK1" s="73" t="s">
        <v>140</v>
      </c>
      <c r="EL1" s="73" t="s">
        <v>141</v>
      </c>
      <c r="EM1" s="73" t="s">
        <v>142</v>
      </c>
      <c r="EN1" s="73" t="s">
        <v>143</v>
      </c>
      <c r="EO1" s="73" t="s">
        <v>144</v>
      </c>
      <c r="EP1" s="73" t="s">
        <v>145</v>
      </c>
      <c r="EQ1" s="73" t="s">
        <v>146</v>
      </c>
      <c r="ER1" s="73" t="s">
        <v>147</v>
      </c>
      <c r="ES1" s="73" t="s">
        <v>148</v>
      </c>
      <c r="ET1" s="73" t="s">
        <v>149</v>
      </c>
      <c r="EU1" s="73" t="s">
        <v>150</v>
      </c>
      <c r="EV1" s="73" t="s">
        <v>151</v>
      </c>
      <c r="EW1" s="73" t="s">
        <v>152</v>
      </c>
      <c r="EX1" s="73" t="s">
        <v>153</v>
      </c>
      <c r="EY1" s="73" t="s">
        <v>154</v>
      </c>
      <c r="EZ1" s="73" t="s">
        <v>155</v>
      </c>
      <c r="FA1" s="68" t="s">
        <v>156</v>
      </c>
      <c r="FB1" s="68" t="s">
        <v>157</v>
      </c>
      <c r="FC1" s="68" t="s">
        <v>158</v>
      </c>
      <c r="FD1" s="68" t="s">
        <v>159</v>
      </c>
      <c r="FE1" s="68" t="s">
        <v>160</v>
      </c>
      <c r="FF1" s="68" t="s">
        <v>161</v>
      </c>
      <c r="FG1" s="68" t="s">
        <v>162</v>
      </c>
      <c r="FH1" s="68" t="s">
        <v>163</v>
      </c>
      <c r="FI1" s="68" t="s">
        <v>164</v>
      </c>
      <c r="FJ1" s="68" t="s">
        <v>165</v>
      </c>
      <c r="FK1" s="68" t="s">
        <v>166</v>
      </c>
      <c r="FL1" s="68" t="s">
        <v>167</v>
      </c>
      <c r="FM1" s="68" t="s">
        <v>168</v>
      </c>
      <c r="FN1" s="68" t="s">
        <v>169</v>
      </c>
      <c r="FO1" s="68" t="s">
        <v>170</v>
      </c>
      <c r="FP1" s="68" t="s">
        <v>171</v>
      </c>
      <c r="FQ1" s="68" t="s">
        <v>172</v>
      </c>
      <c r="FR1" s="68" t="s">
        <v>173</v>
      </c>
      <c r="FS1" s="68" t="s">
        <v>174</v>
      </c>
      <c r="FT1" s="68" t="s">
        <v>175</v>
      </c>
      <c r="FU1" s="68" t="s">
        <v>176</v>
      </c>
      <c r="FV1" s="68" t="s">
        <v>177</v>
      </c>
      <c r="FW1" s="68" t="s">
        <v>178</v>
      </c>
      <c r="FX1" s="68" t="s">
        <v>179</v>
      </c>
      <c r="FY1" s="80" t="s">
        <v>180</v>
      </c>
      <c r="FZ1" s="80" t="s">
        <v>181</v>
      </c>
      <c r="GA1" s="80" t="s">
        <v>182</v>
      </c>
      <c r="GB1" s="80" t="s">
        <v>183</v>
      </c>
      <c r="GC1" s="80" t="s">
        <v>184</v>
      </c>
      <c r="GD1" s="80" t="s">
        <v>185</v>
      </c>
      <c r="GE1" s="80" t="s">
        <v>186</v>
      </c>
      <c r="GF1" s="80" t="s">
        <v>187</v>
      </c>
      <c r="GG1" s="80" t="s">
        <v>188</v>
      </c>
      <c r="GH1" s="80" t="s">
        <v>189</v>
      </c>
      <c r="GI1" s="80" t="s">
        <v>190</v>
      </c>
      <c r="GJ1" s="80" t="s">
        <v>191</v>
      </c>
      <c r="GK1" s="80" t="s">
        <v>192</v>
      </c>
      <c r="GL1" s="80" t="s">
        <v>193</v>
      </c>
      <c r="GM1" s="80" t="s">
        <v>194</v>
      </c>
      <c r="GN1" s="80" t="s">
        <v>195</v>
      </c>
      <c r="GO1" s="80" t="s">
        <v>196</v>
      </c>
      <c r="GP1" s="80" t="s">
        <v>197</v>
      </c>
      <c r="GQ1" s="80" t="s">
        <v>198</v>
      </c>
      <c r="GR1" s="80" t="s">
        <v>199</v>
      </c>
      <c r="GS1" s="80" t="s">
        <v>200</v>
      </c>
      <c r="GT1" s="80" t="s">
        <v>201</v>
      </c>
      <c r="GU1" s="80" t="s">
        <v>202</v>
      </c>
      <c r="GV1" s="80" t="s">
        <v>203</v>
      </c>
      <c r="GW1" s="82" t="s">
        <v>204</v>
      </c>
      <c r="GX1" s="82" t="s">
        <v>205</v>
      </c>
      <c r="GY1" s="82" t="s">
        <v>206</v>
      </c>
      <c r="GZ1" s="82" t="s">
        <v>207</v>
      </c>
      <c r="HA1" s="82" t="s">
        <v>208</v>
      </c>
      <c r="HB1" s="82" t="s">
        <v>209</v>
      </c>
      <c r="HC1" s="82" t="s">
        <v>210</v>
      </c>
      <c r="HD1" s="82" t="s">
        <v>211</v>
      </c>
      <c r="HE1" s="82" t="s">
        <v>212</v>
      </c>
      <c r="HF1" s="82" t="s">
        <v>213</v>
      </c>
      <c r="HG1" s="82" t="s">
        <v>214</v>
      </c>
      <c r="HH1" s="82" t="s">
        <v>215</v>
      </c>
      <c r="HI1" s="82" t="s">
        <v>216</v>
      </c>
      <c r="HJ1" s="82" t="s">
        <v>217</v>
      </c>
      <c r="HK1" s="82" t="s">
        <v>218</v>
      </c>
      <c r="HL1" s="82" t="s">
        <v>219</v>
      </c>
      <c r="HM1" s="82" t="s">
        <v>220</v>
      </c>
      <c r="HN1" s="82" t="s">
        <v>221</v>
      </c>
      <c r="HO1" s="82" t="s">
        <v>222</v>
      </c>
      <c r="HP1" s="82" t="s">
        <v>223</v>
      </c>
      <c r="HQ1" s="82" t="s">
        <v>224</v>
      </c>
      <c r="HR1" s="82" t="s">
        <v>225</v>
      </c>
      <c r="HS1" s="82" t="s">
        <v>226</v>
      </c>
      <c r="HT1" s="82" t="s">
        <v>227</v>
      </c>
      <c r="HU1" s="68" t="s">
        <v>383</v>
      </c>
      <c r="HV1" s="68" t="s">
        <v>388</v>
      </c>
      <c r="HW1" s="68" t="s">
        <v>389</v>
      </c>
      <c r="HX1" s="68" t="s">
        <v>390</v>
      </c>
      <c r="HY1" s="68" t="s">
        <v>391</v>
      </c>
      <c r="HZ1" s="68" t="s">
        <v>392</v>
      </c>
      <c r="IA1" s="68" t="s">
        <v>384</v>
      </c>
      <c r="IB1" s="68" t="s">
        <v>393</v>
      </c>
      <c r="IC1" s="68" t="s">
        <v>394</v>
      </c>
      <c r="ID1" s="68" t="s">
        <v>395</v>
      </c>
      <c r="IE1" s="68" t="s">
        <v>396</v>
      </c>
      <c r="IF1" s="68" t="s">
        <v>397</v>
      </c>
      <c r="IG1" s="68" t="s">
        <v>385</v>
      </c>
      <c r="IH1" s="68" t="s">
        <v>398</v>
      </c>
      <c r="II1" s="68" t="s">
        <v>399</v>
      </c>
      <c r="IJ1" s="68" t="s">
        <v>400</v>
      </c>
      <c r="IK1" s="68" t="s">
        <v>401</v>
      </c>
      <c r="IL1" s="68" t="s">
        <v>402</v>
      </c>
      <c r="IM1" s="68" t="s">
        <v>386</v>
      </c>
      <c r="IN1" s="68" t="s">
        <v>403</v>
      </c>
      <c r="IO1" s="68" t="s">
        <v>404</v>
      </c>
      <c r="IP1" s="68" t="s">
        <v>405</v>
      </c>
      <c r="IQ1" s="68" t="s">
        <v>406</v>
      </c>
      <c r="IR1" s="68" t="s">
        <v>407</v>
      </c>
      <c r="IW1" s="84"/>
    </row>
    <row r="2" spans="1:312" ht="49" customHeight="1">
      <c r="A2" s="24" t="s">
        <v>521</v>
      </c>
      <c r="B2" s="24" t="s">
        <v>544</v>
      </c>
      <c r="C2" s="25">
        <v>46160</v>
      </c>
      <c r="D2" s="25">
        <v>46163</v>
      </c>
      <c r="E2" s="39">
        <v>46160</v>
      </c>
      <c r="F2" s="26" t="s">
        <v>545</v>
      </c>
      <c r="G2" s="27" t="s">
        <v>505</v>
      </c>
      <c r="H2" s="28" t="s">
        <v>250</v>
      </c>
      <c r="I2" s="102" t="s">
        <v>554</v>
      </c>
      <c r="J2" s="30" t="s">
        <v>332</v>
      </c>
      <c r="K2" s="31" t="s">
        <v>354</v>
      </c>
      <c r="L2" s="27" t="s">
        <v>546</v>
      </c>
      <c r="M2" s="28" t="s">
        <v>250</v>
      </c>
      <c r="N2" s="102" t="s">
        <v>555</v>
      </c>
      <c r="O2" s="30" t="s">
        <v>354</v>
      </c>
      <c r="P2" s="31" t="s">
        <v>354</v>
      </c>
      <c r="Q2" s="27" t="s">
        <v>242</v>
      </c>
      <c r="R2" s="28" t="s">
        <v>250</v>
      </c>
      <c r="S2" s="42" t="s">
        <v>573</v>
      </c>
      <c r="T2" s="44" t="s">
        <v>354</v>
      </c>
      <c r="U2" s="43" t="s">
        <v>354</v>
      </c>
      <c r="V2" s="49" t="s">
        <v>243</v>
      </c>
      <c r="W2" s="53" t="s">
        <v>250</v>
      </c>
      <c r="X2" s="60" t="s">
        <v>556</v>
      </c>
      <c r="Y2" s="46" t="s">
        <v>529</v>
      </c>
      <c r="Z2" s="63" t="s">
        <v>354</v>
      </c>
      <c r="AA2" s="50" t="s">
        <v>244</v>
      </c>
      <c r="AB2" s="53" t="s">
        <v>250</v>
      </c>
      <c r="AC2" s="60" t="s">
        <v>557</v>
      </c>
      <c r="AD2" s="45" t="s">
        <v>327</v>
      </c>
      <c r="AE2" s="62" t="s">
        <v>328</v>
      </c>
      <c r="AF2" s="51">
        <v>0</v>
      </c>
      <c r="AG2" s="54" t="s">
        <v>524</v>
      </c>
      <c r="AH2" s="59" t="s">
        <v>430</v>
      </c>
      <c r="AI2" s="45" t="s">
        <v>354</v>
      </c>
      <c r="AJ2" s="62" t="s">
        <v>354</v>
      </c>
      <c r="AK2" s="67">
        <v>46161</v>
      </c>
      <c r="AL2" s="68" t="s">
        <v>545</v>
      </c>
      <c r="AM2" s="51" t="s">
        <v>505</v>
      </c>
      <c r="AN2" s="54" t="s">
        <v>250</v>
      </c>
      <c r="AO2" s="59" t="s">
        <v>558</v>
      </c>
      <c r="AP2" s="45" t="s">
        <v>354</v>
      </c>
      <c r="AQ2" s="62" t="s">
        <v>354</v>
      </c>
      <c r="AR2" s="49" t="s">
        <v>506</v>
      </c>
      <c r="AS2" s="55" t="s">
        <v>250</v>
      </c>
      <c r="AT2" s="59" t="s">
        <v>559</v>
      </c>
      <c r="AU2" s="45" t="s">
        <v>534</v>
      </c>
      <c r="AV2" s="64" t="s">
        <v>354</v>
      </c>
      <c r="AW2" s="50" t="s">
        <v>572</v>
      </c>
      <c r="AX2" s="54" t="s">
        <v>250</v>
      </c>
      <c r="AY2" s="60" t="s">
        <v>574</v>
      </c>
      <c r="AZ2" s="45" t="s">
        <v>539</v>
      </c>
      <c r="BA2" s="62" t="s">
        <v>354</v>
      </c>
      <c r="BB2" s="27" t="s">
        <v>243</v>
      </c>
      <c r="BC2" s="56" t="s">
        <v>250</v>
      </c>
      <c r="BD2" s="59" t="s">
        <v>560</v>
      </c>
      <c r="BE2" s="44" t="s">
        <v>347</v>
      </c>
      <c r="BF2" s="62" t="s">
        <v>354</v>
      </c>
      <c r="BG2" s="49">
        <v>0</v>
      </c>
      <c r="BH2" s="53" t="s">
        <v>524</v>
      </c>
      <c r="BI2" s="58" t="s">
        <v>430</v>
      </c>
      <c r="BJ2" s="46" t="s">
        <v>354</v>
      </c>
      <c r="BK2" s="63" t="s">
        <v>354</v>
      </c>
      <c r="BL2" s="50">
        <v>0</v>
      </c>
      <c r="BM2" s="53" t="s">
        <v>524</v>
      </c>
      <c r="BN2" s="58" t="s">
        <v>430</v>
      </c>
      <c r="BO2" s="45" t="s">
        <v>354</v>
      </c>
      <c r="BP2" s="62" t="s">
        <v>354</v>
      </c>
      <c r="BQ2" s="69">
        <v>46162</v>
      </c>
      <c r="BR2" s="70" t="s">
        <v>549</v>
      </c>
      <c r="BS2" s="50" t="s">
        <v>505</v>
      </c>
      <c r="BT2" s="53" t="s">
        <v>250</v>
      </c>
      <c r="BU2" s="60" t="s">
        <v>561</v>
      </c>
      <c r="BV2" s="45" t="s">
        <v>312</v>
      </c>
      <c r="BW2" s="62" t="s">
        <v>354</v>
      </c>
      <c r="BX2" s="51" t="s">
        <v>506</v>
      </c>
      <c r="BY2" s="54" t="s">
        <v>250</v>
      </c>
      <c r="BZ2" s="59" t="s">
        <v>562</v>
      </c>
      <c r="CA2" s="45" t="s">
        <v>533</v>
      </c>
      <c r="CB2" s="62" t="s">
        <v>354</v>
      </c>
      <c r="CC2" s="49" t="s">
        <v>550</v>
      </c>
      <c r="CD2" s="53" t="s">
        <v>250</v>
      </c>
      <c r="CE2" s="60" t="s">
        <v>563</v>
      </c>
      <c r="CF2" s="44" t="s">
        <v>543</v>
      </c>
      <c r="CG2" s="63" t="s">
        <v>354</v>
      </c>
      <c r="CH2" s="49" t="s">
        <v>551</v>
      </c>
      <c r="CI2" s="53" t="s">
        <v>250</v>
      </c>
      <c r="CJ2" s="60" t="s">
        <v>564</v>
      </c>
      <c r="CK2" s="47" t="s">
        <v>537</v>
      </c>
      <c r="CL2" s="65" t="s">
        <v>306</v>
      </c>
      <c r="CM2" s="52" t="s">
        <v>552</v>
      </c>
      <c r="CN2" s="56" t="s">
        <v>250</v>
      </c>
      <c r="CO2" s="59" t="s">
        <v>565</v>
      </c>
      <c r="CP2" s="44" t="s">
        <v>340</v>
      </c>
      <c r="CQ2" s="66" t="s">
        <v>354</v>
      </c>
      <c r="CR2" s="52">
        <v>0</v>
      </c>
      <c r="CS2" s="57" t="s">
        <v>524</v>
      </c>
      <c r="CT2" s="61" t="s">
        <v>430</v>
      </c>
      <c r="CU2" s="46" t="s">
        <v>354</v>
      </c>
      <c r="CV2" s="63" t="s">
        <v>354</v>
      </c>
      <c r="CW2" s="71">
        <v>46163</v>
      </c>
      <c r="CX2" s="72" t="s">
        <v>504</v>
      </c>
      <c r="CY2" s="52" t="s">
        <v>505</v>
      </c>
      <c r="CZ2" s="57" t="s">
        <v>250</v>
      </c>
      <c r="DA2" s="103" t="s">
        <v>566</v>
      </c>
      <c r="DB2" s="46" t="s">
        <v>354</v>
      </c>
      <c r="DC2" s="63" t="s">
        <v>354</v>
      </c>
      <c r="DD2" s="50" t="s">
        <v>506</v>
      </c>
      <c r="DE2" s="57" t="s">
        <v>250</v>
      </c>
      <c r="DF2" s="103" t="s">
        <v>567</v>
      </c>
      <c r="DG2" s="48" t="s">
        <v>527</v>
      </c>
      <c r="DH2" s="66" t="s">
        <v>354</v>
      </c>
      <c r="DI2" s="51" t="s">
        <v>243</v>
      </c>
      <c r="DJ2" s="29" t="s">
        <v>250</v>
      </c>
      <c r="DK2" s="59" t="s">
        <v>568</v>
      </c>
      <c r="DL2" s="48" t="s">
        <v>535</v>
      </c>
      <c r="DM2" s="66" t="s">
        <v>354</v>
      </c>
      <c r="DN2" s="52" t="s">
        <v>244</v>
      </c>
      <c r="DO2" s="57" t="s">
        <v>250</v>
      </c>
      <c r="DP2" s="60" t="s">
        <v>569</v>
      </c>
      <c r="DQ2" s="44" t="s">
        <v>541</v>
      </c>
      <c r="DR2" s="63" t="s">
        <v>354</v>
      </c>
      <c r="DS2" s="52">
        <v>0</v>
      </c>
      <c r="DT2" s="57" t="s">
        <v>524</v>
      </c>
      <c r="DU2" s="103" t="s">
        <v>430</v>
      </c>
      <c r="DV2" s="48" t="s">
        <v>354</v>
      </c>
      <c r="DW2" s="64" t="s">
        <v>354</v>
      </c>
      <c r="DX2" s="50">
        <v>0</v>
      </c>
      <c r="DY2" s="54" t="s">
        <v>524</v>
      </c>
      <c r="DZ2" s="103" t="s">
        <v>430</v>
      </c>
      <c r="EA2" s="48" t="s">
        <v>354</v>
      </c>
      <c r="EB2" s="66" t="s">
        <v>354</v>
      </c>
      <c r="EC2" s="74" t="s">
        <v>251</v>
      </c>
      <c r="ED2" s="75" t="s">
        <v>354</v>
      </c>
      <c r="EE2" s="76" t="s">
        <v>331</v>
      </c>
      <c r="EF2" s="77" t="s">
        <v>354</v>
      </c>
      <c r="EG2" s="78" t="s">
        <v>251</v>
      </c>
      <c r="EH2" s="78" t="s">
        <v>354</v>
      </c>
      <c r="EI2" s="76" t="s">
        <v>547</v>
      </c>
      <c r="EJ2" s="76" t="s">
        <v>354</v>
      </c>
      <c r="EK2" s="76" t="s">
        <v>351</v>
      </c>
      <c r="EL2" s="76" t="s">
        <v>571</v>
      </c>
      <c r="EM2" s="76" t="s">
        <v>570</v>
      </c>
      <c r="EN2" s="76" t="s">
        <v>354</v>
      </c>
      <c r="EO2" s="78" t="s">
        <v>253</v>
      </c>
      <c r="EP2" s="78" t="s">
        <v>354</v>
      </c>
      <c r="EQ2" s="101" t="s">
        <v>427</v>
      </c>
      <c r="ER2" s="101" t="s">
        <v>511</v>
      </c>
      <c r="ES2" s="76" t="s">
        <v>251</v>
      </c>
      <c r="ET2" s="76" t="s">
        <v>354</v>
      </c>
      <c r="EU2" s="76" t="s">
        <v>456</v>
      </c>
      <c r="EV2" s="76" t="s">
        <v>354</v>
      </c>
      <c r="EW2" s="76" t="s">
        <v>354</v>
      </c>
      <c r="EX2" s="76" t="s">
        <v>354</v>
      </c>
      <c r="EY2" s="76" t="s">
        <v>354</v>
      </c>
      <c r="EZ2" s="76" t="s">
        <v>354</v>
      </c>
      <c r="FA2" s="79" t="s">
        <v>253</v>
      </c>
      <c r="FB2" s="79" t="s">
        <v>354</v>
      </c>
      <c r="FC2" s="68" t="s">
        <v>548</v>
      </c>
      <c r="FD2" s="68" t="s">
        <v>354</v>
      </c>
      <c r="FE2" s="72" t="s">
        <v>251</v>
      </c>
      <c r="FF2" s="72" t="s">
        <v>354</v>
      </c>
      <c r="FG2" s="72" t="s">
        <v>412</v>
      </c>
      <c r="FH2" s="72" t="s">
        <v>276</v>
      </c>
      <c r="FI2" s="70" t="s">
        <v>433</v>
      </c>
      <c r="FJ2" s="70" t="s">
        <v>523</v>
      </c>
      <c r="FK2" s="40" t="s">
        <v>452</v>
      </c>
      <c r="FL2" s="40" t="s">
        <v>538</v>
      </c>
      <c r="FM2" s="72" t="s">
        <v>346</v>
      </c>
      <c r="FN2" s="72" t="s">
        <v>348</v>
      </c>
      <c r="FO2" s="72" t="s">
        <v>428</v>
      </c>
      <c r="FP2" s="72" t="s">
        <v>354</v>
      </c>
      <c r="FQ2" s="70" t="s">
        <v>354</v>
      </c>
      <c r="FR2" s="70" t="s">
        <v>354</v>
      </c>
      <c r="FS2" s="70" t="s">
        <v>354</v>
      </c>
      <c r="FT2" s="70" t="s">
        <v>354</v>
      </c>
      <c r="FU2" s="40" t="s">
        <v>354</v>
      </c>
      <c r="FV2" s="40" t="s">
        <v>354</v>
      </c>
      <c r="FW2" s="40" t="s">
        <v>354</v>
      </c>
      <c r="FX2" s="40" t="s">
        <v>354</v>
      </c>
      <c r="FY2" s="81" t="s">
        <v>455</v>
      </c>
      <c r="FZ2" s="81" t="s">
        <v>354</v>
      </c>
      <c r="GA2" s="81" t="s">
        <v>422</v>
      </c>
      <c r="GB2" s="81" t="s">
        <v>311</v>
      </c>
      <c r="GC2" s="81" t="s">
        <v>253</v>
      </c>
      <c r="GD2" s="81" t="s">
        <v>354</v>
      </c>
      <c r="GE2" s="81" t="s">
        <v>440</v>
      </c>
      <c r="GF2" s="81" t="s">
        <v>512</v>
      </c>
      <c r="GG2" s="81" t="s">
        <v>455</v>
      </c>
      <c r="GH2" s="81" t="s">
        <v>458</v>
      </c>
      <c r="GI2" s="81" t="s">
        <v>503</v>
      </c>
      <c r="GJ2" s="81" t="s">
        <v>542</v>
      </c>
      <c r="GK2" s="81" t="s">
        <v>251</v>
      </c>
      <c r="GL2" s="81" t="s">
        <v>307</v>
      </c>
      <c r="GM2" s="81" t="s">
        <v>419</v>
      </c>
      <c r="GN2" s="81" t="s">
        <v>305</v>
      </c>
      <c r="GO2" s="81" t="s">
        <v>330</v>
      </c>
      <c r="GP2" s="81" t="s">
        <v>354</v>
      </c>
      <c r="GQ2" s="81" t="s">
        <v>445</v>
      </c>
      <c r="GR2" s="81" t="s">
        <v>354</v>
      </c>
      <c r="GS2" s="81" t="s">
        <v>354</v>
      </c>
      <c r="GT2" s="81" t="s">
        <v>354</v>
      </c>
      <c r="GU2" s="81" t="s">
        <v>354</v>
      </c>
      <c r="GV2" s="81" t="s">
        <v>354</v>
      </c>
      <c r="GW2" s="83" t="s">
        <v>253</v>
      </c>
      <c r="GX2" s="83" t="s">
        <v>434</v>
      </c>
      <c r="GY2" s="83" t="s">
        <v>553</v>
      </c>
      <c r="GZ2" s="83" t="s">
        <v>354</v>
      </c>
      <c r="HA2" s="83" t="s">
        <v>251</v>
      </c>
      <c r="HB2" s="83" t="s">
        <v>354</v>
      </c>
      <c r="HC2" s="83" t="s">
        <v>509</v>
      </c>
      <c r="HD2" s="83" t="s">
        <v>510</v>
      </c>
      <c r="HE2" s="83" t="s">
        <v>253</v>
      </c>
      <c r="HF2" s="83" t="s">
        <v>457</v>
      </c>
      <c r="HG2" s="83" t="s">
        <v>443</v>
      </c>
      <c r="HH2" s="83" t="s">
        <v>435</v>
      </c>
      <c r="HI2" s="83" t="s">
        <v>455</v>
      </c>
      <c r="HJ2" s="83" t="s">
        <v>354</v>
      </c>
      <c r="HK2" s="83" t="s">
        <v>421</v>
      </c>
      <c r="HL2" s="83" t="s">
        <v>540</v>
      </c>
      <c r="HM2" s="83" t="s">
        <v>354</v>
      </c>
      <c r="HN2" s="83" t="s">
        <v>354</v>
      </c>
      <c r="HO2" s="83" t="s">
        <v>354</v>
      </c>
      <c r="HP2" s="83" t="s">
        <v>354</v>
      </c>
      <c r="HQ2" s="83" t="s">
        <v>354</v>
      </c>
      <c r="HR2" s="83" t="s">
        <v>354</v>
      </c>
      <c r="HS2" s="83" t="s">
        <v>354</v>
      </c>
      <c r="HT2" s="83" t="s">
        <v>354</v>
      </c>
      <c r="HU2" s="79" t="s">
        <v>387</v>
      </c>
      <c r="HV2" s="79" t="s">
        <v>387</v>
      </c>
      <c r="HW2" s="79" t="s">
        <v>387</v>
      </c>
      <c r="HX2" s="121" t="s">
        <v>387</v>
      </c>
      <c r="HY2" s="79" t="s">
        <v>387</v>
      </c>
      <c r="HZ2" s="79" t="s">
        <v>525</v>
      </c>
      <c r="IA2" s="79" t="s">
        <v>387</v>
      </c>
      <c r="IB2" s="79" t="s">
        <v>387</v>
      </c>
      <c r="IC2" s="79" t="s">
        <v>387</v>
      </c>
      <c r="ID2" s="79" t="s">
        <v>387</v>
      </c>
      <c r="IE2" s="79" t="s">
        <v>525</v>
      </c>
      <c r="IF2" s="79" t="s">
        <v>525</v>
      </c>
      <c r="IG2" s="79" t="s">
        <v>387</v>
      </c>
      <c r="IH2" s="79" t="s">
        <v>387</v>
      </c>
      <c r="II2" s="79" t="s">
        <v>387</v>
      </c>
      <c r="IJ2" s="79" t="s">
        <v>387</v>
      </c>
      <c r="IK2" s="79" t="s">
        <v>387</v>
      </c>
      <c r="IL2" s="79" t="s">
        <v>525</v>
      </c>
      <c r="IM2" s="79" t="s">
        <v>387</v>
      </c>
      <c r="IN2" s="79" t="s">
        <v>387</v>
      </c>
      <c r="IO2" s="79" t="s">
        <v>387</v>
      </c>
      <c r="IP2" s="79" t="s">
        <v>387</v>
      </c>
      <c r="IQ2" s="79" t="s">
        <v>525</v>
      </c>
      <c r="IR2" s="79" t="s">
        <v>525</v>
      </c>
      <c r="IW2" s="84"/>
      <c r="JI2" s="34"/>
      <c r="JJ2" s="34"/>
      <c r="JK2" s="34"/>
      <c r="JL2" s="34"/>
      <c r="JM2" s="34"/>
      <c r="JN2" s="34"/>
      <c r="JO2" s="34"/>
      <c r="JP2" s="34"/>
      <c r="JQ2" s="34"/>
      <c r="JR2" s="34"/>
      <c r="JS2" s="34"/>
      <c r="JT2" s="34"/>
      <c r="JU2" s="34"/>
      <c r="JV2" s="34"/>
      <c r="JW2" s="34"/>
      <c r="JX2" s="34"/>
      <c r="JY2" s="34"/>
      <c r="JZ2" s="34"/>
      <c r="KA2" s="34"/>
      <c r="KB2" s="34"/>
      <c r="KC2" s="34"/>
      <c r="KD2" s="34"/>
      <c r="KE2" s="34"/>
      <c r="KF2" s="34"/>
      <c r="KG2" s="34"/>
      <c r="KH2" s="34"/>
      <c r="KI2" s="34"/>
      <c r="KJ2" s="34"/>
      <c r="KK2" s="34"/>
      <c r="KL2" s="34"/>
      <c r="KM2" s="34"/>
      <c r="KN2" s="34"/>
      <c r="KO2" s="34"/>
      <c r="KP2" s="34"/>
      <c r="KQ2" s="34"/>
      <c r="KR2" s="34"/>
      <c r="KS2" s="34"/>
      <c r="KT2" s="34"/>
      <c r="KU2" s="34"/>
      <c r="KV2" s="34"/>
      <c r="KW2" s="34"/>
      <c r="KX2" s="34"/>
      <c r="KY2" s="34"/>
      <c r="KZ2" s="34"/>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KZ69"/>
  <sheetViews>
    <sheetView topLeftCell="A42" zoomScale="137" zoomScaleNormal="135" workbookViewId="0">
      <selection activeCell="F44" sqref="F44"/>
    </sheetView>
  </sheetViews>
  <sheetFormatPr baseColWidth="10" defaultRowHeight="16"/>
  <cols>
    <col min="1" max="1" width="16.5" customWidth="1"/>
    <col min="2" max="2" width="17" customWidth="1"/>
    <col min="5" max="5" width="16.33203125" customWidth="1"/>
    <col min="6" max="6" width="19.1640625" customWidth="1"/>
    <col min="7" max="7" width="23.5" customWidth="1"/>
    <col min="8" max="8" width="15.1640625" customWidth="1"/>
    <col min="9" max="9" width="12.6640625" customWidth="1"/>
    <col min="10" max="10" width="11.1640625" customWidth="1"/>
    <col min="11" max="11" width="17.1640625" customWidth="1"/>
    <col min="12" max="12" width="77.83203125" customWidth="1"/>
    <col min="13" max="13" width="31" customWidth="1"/>
    <col min="14" max="14" width="18.33203125" customWidth="1"/>
    <col min="15" max="16" width="17.6640625" customWidth="1"/>
    <col min="17" max="17" width="18.33203125" customWidth="1"/>
    <col min="18" max="18" width="16.83203125" customWidth="1"/>
    <col min="19" max="19" width="20.33203125" customWidth="1"/>
    <col min="24" max="24" width="15" customWidth="1"/>
    <col min="29" max="29" width="16" customWidth="1"/>
    <col min="51" max="51" width="14.33203125" customWidth="1"/>
    <col min="67" max="67" width="11.1640625" bestFit="1" customWidth="1"/>
    <col min="68" max="68" width="18.33203125" bestFit="1" customWidth="1"/>
    <col min="78" max="78" width="12.83203125" customWidth="1"/>
    <col min="177" max="177" width="15" bestFit="1" customWidth="1"/>
    <col min="178" max="178" width="14.83203125" bestFit="1" customWidth="1"/>
    <col min="180" max="180" width="21.1640625" bestFit="1" customWidth="1"/>
    <col min="181" max="181" width="15" bestFit="1" customWidth="1"/>
    <col min="183" max="183" width="13.1640625" customWidth="1"/>
    <col min="184" max="184" width="22.83203125" customWidth="1"/>
    <col min="218" max="219" width="14.6640625" customWidth="1"/>
    <col min="220" max="220" width="18.6640625" customWidth="1"/>
    <col min="221" max="221" width="20.83203125" customWidth="1"/>
    <col min="222" max="223" width="14.6640625" customWidth="1"/>
    <col min="224" max="224" width="18.33203125" customWidth="1"/>
    <col min="225" max="225" width="20.83203125" customWidth="1"/>
    <col min="229" max="229" width="20.83203125" customWidth="1"/>
    <col min="240" max="240" width="13.1640625" customWidth="1"/>
    <col min="241" max="241" width="20.83203125" customWidth="1"/>
    <col min="257" max="257" width="10.83203125" style="84"/>
  </cols>
  <sheetData>
    <row r="1" spans="1:312">
      <c r="A1" s="24" t="s">
        <v>0</v>
      </c>
      <c r="B1" s="24" t="s">
        <v>1</v>
      </c>
      <c r="C1" s="24" t="s">
        <v>2</v>
      </c>
      <c r="D1" s="24" t="s">
        <v>3</v>
      </c>
      <c r="E1" s="2" t="s">
        <v>4</v>
      </c>
      <c r="F1" s="3" t="s">
        <v>5</v>
      </c>
      <c r="G1" s="35" t="s">
        <v>6</v>
      </c>
      <c r="H1" s="36" t="s">
        <v>7</v>
      </c>
      <c r="I1" s="4" t="s">
        <v>8</v>
      </c>
      <c r="J1" s="30" t="s">
        <v>9</v>
      </c>
      <c r="K1" s="1" t="s">
        <v>10</v>
      </c>
      <c r="L1" s="35" t="s">
        <v>11</v>
      </c>
      <c r="M1" s="36" t="s">
        <v>12</v>
      </c>
      <c r="N1" s="4" t="s">
        <v>13</v>
      </c>
      <c r="O1" s="30" t="s">
        <v>14</v>
      </c>
      <c r="P1" s="1" t="s">
        <v>15</v>
      </c>
      <c r="Q1" s="35" t="s">
        <v>16</v>
      </c>
      <c r="R1" s="36" t="s">
        <v>17</v>
      </c>
      <c r="S1" s="41" t="s">
        <v>18</v>
      </c>
      <c r="T1" s="45" t="s">
        <v>19</v>
      </c>
      <c r="U1" s="1" t="s">
        <v>20</v>
      </c>
      <c r="V1" s="35" t="s">
        <v>21</v>
      </c>
      <c r="W1" s="36" t="s">
        <v>22</v>
      </c>
      <c r="X1" s="4" t="s">
        <v>23</v>
      </c>
      <c r="Y1" s="30" t="s">
        <v>24</v>
      </c>
      <c r="Z1" s="62" t="s">
        <v>25</v>
      </c>
      <c r="AA1" s="35" t="s">
        <v>26</v>
      </c>
      <c r="AB1" s="36" t="s">
        <v>27</v>
      </c>
      <c r="AC1" s="4" t="s">
        <v>28</v>
      </c>
      <c r="AD1" s="30" t="s">
        <v>29</v>
      </c>
      <c r="AE1" s="62" t="s">
        <v>30</v>
      </c>
      <c r="AF1" s="35" t="s">
        <v>31</v>
      </c>
      <c r="AG1" s="36" t="s">
        <v>32</v>
      </c>
      <c r="AH1" s="4" t="s">
        <v>33</v>
      </c>
      <c r="AI1" s="30" t="s">
        <v>34</v>
      </c>
      <c r="AJ1" s="62" t="s">
        <v>35</v>
      </c>
      <c r="AK1" s="2" t="s">
        <v>36</v>
      </c>
      <c r="AL1" s="3" t="s">
        <v>37</v>
      </c>
      <c r="AM1" s="35" t="s">
        <v>38</v>
      </c>
      <c r="AN1" s="36" t="s">
        <v>39</v>
      </c>
      <c r="AO1" s="4" t="s">
        <v>40</v>
      </c>
      <c r="AP1" s="30" t="s">
        <v>41</v>
      </c>
      <c r="AQ1" s="1" t="s">
        <v>42</v>
      </c>
      <c r="AR1" s="35" t="s">
        <v>43</v>
      </c>
      <c r="AS1" s="36" t="s">
        <v>44</v>
      </c>
      <c r="AT1" s="4" t="s">
        <v>45</v>
      </c>
      <c r="AU1" s="30" t="s">
        <v>46</v>
      </c>
      <c r="AV1" s="1" t="s">
        <v>47</v>
      </c>
      <c r="AW1" s="35" t="s">
        <v>48</v>
      </c>
      <c r="AX1" s="36" t="s">
        <v>49</v>
      </c>
      <c r="AY1" s="41" t="s">
        <v>50</v>
      </c>
      <c r="AZ1" s="45" t="s">
        <v>51</v>
      </c>
      <c r="BA1" s="1" t="s">
        <v>52</v>
      </c>
      <c r="BB1" s="35" t="s">
        <v>53</v>
      </c>
      <c r="BC1" s="36" t="s">
        <v>54</v>
      </c>
      <c r="BD1" s="4" t="s">
        <v>55</v>
      </c>
      <c r="BE1" s="30" t="s">
        <v>56</v>
      </c>
      <c r="BF1" s="62" t="s">
        <v>57</v>
      </c>
      <c r="BG1" s="35" t="s">
        <v>58</v>
      </c>
      <c r="BH1" s="36" t="s">
        <v>59</v>
      </c>
      <c r="BI1" s="4" t="s">
        <v>60</v>
      </c>
      <c r="BJ1" s="30" t="s">
        <v>61</v>
      </c>
      <c r="BK1" s="62" t="s">
        <v>62</v>
      </c>
      <c r="BL1" s="35" t="s">
        <v>63</v>
      </c>
      <c r="BM1" s="36" t="s">
        <v>64</v>
      </c>
      <c r="BN1" s="4" t="s">
        <v>65</v>
      </c>
      <c r="BO1" s="30" t="s">
        <v>66</v>
      </c>
      <c r="BP1" s="62" t="s">
        <v>67</v>
      </c>
      <c r="BQ1" s="37" t="s">
        <v>68</v>
      </c>
      <c r="BR1" s="38" t="s">
        <v>69</v>
      </c>
      <c r="BS1" s="35" t="s">
        <v>70</v>
      </c>
      <c r="BT1" s="36" t="s">
        <v>71</v>
      </c>
      <c r="BU1" s="4" t="s">
        <v>72</v>
      </c>
      <c r="BV1" s="30" t="s">
        <v>73</v>
      </c>
      <c r="BW1" s="1" t="s">
        <v>74</v>
      </c>
      <c r="BX1" s="35" t="s">
        <v>75</v>
      </c>
      <c r="BY1" s="36" t="s">
        <v>76</v>
      </c>
      <c r="BZ1" s="4" t="s">
        <v>77</v>
      </c>
      <c r="CA1" s="30" t="s">
        <v>78</v>
      </c>
      <c r="CB1" s="1" t="s">
        <v>79</v>
      </c>
      <c r="CC1" s="35" t="s">
        <v>80</v>
      </c>
      <c r="CD1" s="36" t="s">
        <v>81</v>
      </c>
      <c r="CE1" s="41" t="s">
        <v>82</v>
      </c>
      <c r="CF1" s="45" t="s">
        <v>83</v>
      </c>
      <c r="CG1" s="1" t="s">
        <v>84</v>
      </c>
      <c r="CH1" s="35" t="s">
        <v>85</v>
      </c>
      <c r="CI1" s="36" t="s">
        <v>86</v>
      </c>
      <c r="CJ1" s="4" t="s">
        <v>87</v>
      </c>
      <c r="CK1" s="30" t="s">
        <v>88</v>
      </c>
      <c r="CL1" s="62" t="s">
        <v>89</v>
      </c>
      <c r="CM1" s="35" t="s">
        <v>90</v>
      </c>
      <c r="CN1" s="36" t="s">
        <v>91</v>
      </c>
      <c r="CO1" s="4" t="s">
        <v>92</v>
      </c>
      <c r="CP1" s="30" t="s">
        <v>93</v>
      </c>
      <c r="CQ1" s="62" t="s">
        <v>94</v>
      </c>
      <c r="CR1" s="35" t="s">
        <v>95</v>
      </c>
      <c r="CS1" s="36" t="s">
        <v>96</v>
      </c>
      <c r="CT1" s="4" t="s">
        <v>97</v>
      </c>
      <c r="CU1" s="30" t="s">
        <v>98</v>
      </c>
      <c r="CV1" s="62" t="s">
        <v>99</v>
      </c>
      <c r="CW1" s="37" t="s">
        <v>100</v>
      </c>
      <c r="CX1" s="38" t="s">
        <v>101</v>
      </c>
      <c r="CY1" s="35" t="s">
        <v>102</v>
      </c>
      <c r="CZ1" s="36" t="s">
        <v>103</v>
      </c>
      <c r="DA1" s="4" t="s">
        <v>104</v>
      </c>
      <c r="DB1" s="30" t="s">
        <v>105</v>
      </c>
      <c r="DC1" s="1" t="s">
        <v>106</v>
      </c>
      <c r="DD1" s="35" t="s">
        <v>107</v>
      </c>
      <c r="DE1" s="36" t="s">
        <v>108</v>
      </c>
      <c r="DF1" s="4" t="s">
        <v>109</v>
      </c>
      <c r="DG1" s="30" t="s">
        <v>110</v>
      </c>
      <c r="DH1" s="1" t="s">
        <v>111</v>
      </c>
      <c r="DI1" s="35" t="s">
        <v>112</v>
      </c>
      <c r="DJ1" s="36" t="s">
        <v>113</v>
      </c>
      <c r="DK1" s="41" t="s">
        <v>114</v>
      </c>
      <c r="DL1" s="45" t="s">
        <v>115</v>
      </c>
      <c r="DM1" s="1" t="s">
        <v>116</v>
      </c>
      <c r="DN1" s="35" t="s">
        <v>117</v>
      </c>
      <c r="DO1" s="36" t="s">
        <v>118</v>
      </c>
      <c r="DP1" s="4" t="s">
        <v>119</v>
      </c>
      <c r="DQ1" s="30" t="s">
        <v>120</v>
      </c>
      <c r="DR1" s="62" t="s">
        <v>121</v>
      </c>
      <c r="DS1" s="35" t="s">
        <v>122</v>
      </c>
      <c r="DT1" s="36" t="s">
        <v>123</v>
      </c>
      <c r="DU1" s="4" t="s">
        <v>124</v>
      </c>
      <c r="DV1" s="30" t="s">
        <v>125</v>
      </c>
      <c r="DW1" s="62" t="s">
        <v>126</v>
      </c>
      <c r="DX1" s="35" t="s">
        <v>127</v>
      </c>
      <c r="DY1" s="36" t="s">
        <v>128</v>
      </c>
      <c r="DZ1" s="4" t="s">
        <v>129</v>
      </c>
      <c r="EA1" s="30" t="s">
        <v>130</v>
      </c>
      <c r="EB1" s="62" t="s">
        <v>131</v>
      </c>
      <c r="EC1" s="73" t="s">
        <v>132</v>
      </c>
      <c r="ED1" s="73" t="s">
        <v>133</v>
      </c>
      <c r="EE1" s="73" t="s">
        <v>134</v>
      </c>
      <c r="EF1" s="73" t="s">
        <v>135</v>
      </c>
      <c r="EG1" s="73" t="s">
        <v>136</v>
      </c>
      <c r="EH1" s="73" t="s">
        <v>137</v>
      </c>
      <c r="EI1" s="73" t="s">
        <v>138</v>
      </c>
      <c r="EJ1" s="73" t="s">
        <v>139</v>
      </c>
      <c r="EK1" s="73" t="s">
        <v>140</v>
      </c>
      <c r="EL1" s="73" t="s">
        <v>141</v>
      </c>
      <c r="EM1" s="73" t="s">
        <v>142</v>
      </c>
      <c r="EN1" s="73" t="s">
        <v>143</v>
      </c>
      <c r="EO1" s="73" t="s">
        <v>144</v>
      </c>
      <c r="EP1" s="73" t="s">
        <v>145</v>
      </c>
      <c r="EQ1" s="73" t="s">
        <v>146</v>
      </c>
      <c r="ER1" s="73" t="s">
        <v>147</v>
      </c>
      <c r="ES1" s="73" t="s">
        <v>148</v>
      </c>
      <c r="ET1" s="73" t="s">
        <v>149</v>
      </c>
      <c r="EU1" s="73" t="s">
        <v>150</v>
      </c>
      <c r="EV1" s="73" t="s">
        <v>151</v>
      </c>
      <c r="EW1" s="73" t="s">
        <v>152</v>
      </c>
      <c r="EX1" s="73" t="s">
        <v>153</v>
      </c>
      <c r="EY1" s="73" t="s">
        <v>154</v>
      </c>
      <c r="EZ1" s="73" t="s">
        <v>155</v>
      </c>
      <c r="FA1" s="68" t="s">
        <v>156</v>
      </c>
      <c r="FB1" s="68" t="s">
        <v>157</v>
      </c>
      <c r="FC1" s="68" t="s">
        <v>158</v>
      </c>
      <c r="FD1" s="68" t="s">
        <v>159</v>
      </c>
      <c r="FE1" s="68" t="s">
        <v>160</v>
      </c>
      <c r="FF1" s="68" t="s">
        <v>161</v>
      </c>
      <c r="FG1" s="68" t="s">
        <v>162</v>
      </c>
      <c r="FH1" s="68" t="s">
        <v>163</v>
      </c>
      <c r="FI1" s="68" t="s">
        <v>164</v>
      </c>
      <c r="FJ1" s="68" t="s">
        <v>165</v>
      </c>
      <c r="FK1" s="68" t="s">
        <v>166</v>
      </c>
      <c r="FL1" s="68" t="s">
        <v>167</v>
      </c>
      <c r="FM1" s="68" t="s">
        <v>168</v>
      </c>
      <c r="FN1" s="68" t="s">
        <v>169</v>
      </c>
      <c r="FO1" s="68" t="s">
        <v>170</v>
      </c>
      <c r="FP1" s="68" t="s">
        <v>171</v>
      </c>
      <c r="FQ1" s="68" t="s">
        <v>172</v>
      </c>
      <c r="FR1" s="68" t="s">
        <v>173</v>
      </c>
      <c r="FS1" s="68" t="s">
        <v>174</v>
      </c>
      <c r="FT1" s="68" t="s">
        <v>175</v>
      </c>
      <c r="FU1" s="68" t="s">
        <v>176</v>
      </c>
      <c r="FV1" s="68" t="s">
        <v>177</v>
      </c>
      <c r="FW1" s="68" t="s">
        <v>178</v>
      </c>
      <c r="FX1" s="68" t="s">
        <v>179</v>
      </c>
      <c r="FY1" s="80" t="s">
        <v>180</v>
      </c>
      <c r="FZ1" s="80" t="s">
        <v>181</v>
      </c>
      <c r="GA1" s="80" t="s">
        <v>182</v>
      </c>
      <c r="GB1" s="80" t="s">
        <v>183</v>
      </c>
      <c r="GC1" s="80" t="s">
        <v>184</v>
      </c>
      <c r="GD1" s="80" t="s">
        <v>185</v>
      </c>
      <c r="GE1" s="80" t="s">
        <v>186</v>
      </c>
      <c r="GF1" s="80" t="s">
        <v>187</v>
      </c>
      <c r="GG1" s="80" t="s">
        <v>188</v>
      </c>
      <c r="GH1" s="80" t="s">
        <v>189</v>
      </c>
      <c r="GI1" s="80" t="s">
        <v>190</v>
      </c>
      <c r="GJ1" s="80" t="s">
        <v>191</v>
      </c>
      <c r="GK1" s="80" t="s">
        <v>192</v>
      </c>
      <c r="GL1" s="80" t="s">
        <v>193</v>
      </c>
      <c r="GM1" s="80" t="s">
        <v>194</v>
      </c>
      <c r="GN1" s="80" t="s">
        <v>195</v>
      </c>
      <c r="GO1" s="80" t="s">
        <v>196</v>
      </c>
      <c r="GP1" s="80" t="s">
        <v>197</v>
      </c>
      <c r="GQ1" s="80" t="s">
        <v>198</v>
      </c>
      <c r="GR1" s="80" t="s">
        <v>199</v>
      </c>
      <c r="GS1" s="80" t="s">
        <v>200</v>
      </c>
      <c r="GT1" s="80" t="s">
        <v>201</v>
      </c>
      <c r="GU1" s="80" t="s">
        <v>202</v>
      </c>
      <c r="GV1" s="80" t="s">
        <v>203</v>
      </c>
      <c r="GW1" s="82" t="s">
        <v>204</v>
      </c>
      <c r="GX1" s="82" t="s">
        <v>205</v>
      </c>
      <c r="GY1" s="82" t="s">
        <v>206</v>
      </c>
      <c r="GZ1" s="82" t="s">
        <v>207</v>
      </c>
      <c r="HA1" s="82" t="s">
        <v>208</v>
      </c>
      <c r="HB1" s="82" t="s">
        <v>209</v>
      </c>
      <c r="HC1" s="82" t="s">
        <v>210</v>
      </c>
      <c r="HD1" s="82" t="s">
        <v>211</v>
      </c>
      <c r="HE1" s="82" t="s">
        <v>212</v>
      </c>
      <c r="HF1" s="82" t="s">
        <v>213</v>
      </c>
      <c r="HG1" s="82" t="s">
        <v>214</v>
      </c>
      <c r="HH1" s="82" t="s">
        <v>215</v>
      </c>
      <c r="HI1" s="82" t="s">
        <v>216</v>
      </c>
      <c r="HJ1" s="82" t="s">
        <v>217</v>
      </c>
      <c r="HK1" s="82" t="s">
        <v>218</v>
      </c>
      <c r="HL1" s="82" t="s">
        <v>219</v>
      </c>
      <c r="HM1" s="82" t="s">
        <v>220</v>
      </c>
      <c r="HN1" s="82" t="s">
        <v>221</v>
      </c>
      <c r="HO1" s="82" t="s">
        <v>222</v>
      </c>
      <c r="HP1" s="82" t="s">
        <v>223</v>
      </c>
      <c r="HQ1" s="82" t="s">
        <v>224</v>
      </c>
      <c r="HR1" s="82" t="s">
        <v>225</v>
      </c>
      <c r="HS1" s="82" t="s">
        <v>226</v>
      </c>
      <c r="HT1" s="82" t="s">
        <v>227</v>
      </c>
      <c r="HU1" s="68" t="s">
        <v>383</v>
      </c>
      <c r="HV1" s="68" t="s">
        <v>388</v>
      </c>
      <c r="HW1" s="68" t="s">
        <v>389</v>
      </c>
      <c r="HX1" s="68" t="s">
        <v>390</v>
      </c>
      <c r="HY1" s="68" t="s">
        <v>391</v>
      </c>
      <c r="HZ1" s="68" t="s">
        <v>392</v>
      </c>
      <c r="IA1" s="68" t="s">
        <v>384</v>
      </c>
      <c r="IB1" s="68" t="s">
        <v>393</v>
      </c>
      <c r="IC1" s="68" t="s">
        <v>394</v>
      </c>
      <c r="ID1" s="68" t="s">
        <v>395</v>
      </c>
      <c r="IE1" s="68" t="s">
        <v>396</v>
      </c>
      <c r="IF1" s="68" t="s">
        <v>397</v>
      </c>
      <c r="IG1" s="68" t="s">
        <v>385</v>
      </c>
      <c r="IH1" s="68" t="s">
        <v>398</v>
      </c>
      <c r="II1" s="68" t="s">
        <v>399</v>
      </c>
      <c r="IJ1" s="68" t="s">
        <v>400</v>
      </c>
      <c r="IK1" s="68" t="s">
        <v>401</v>
      </c>
      <c r="IL1" s="68" t="s">
        <v>402</v>
      </c>
      <c r="IM1" s="68" t="s">
        <v>386</v>
      </c>
      <c r="IN1" s="68" t="s">
        <v>403</v>
      </c>
      <c r="IO1" s="68" t="s">
        <v>404</v>
      </c>
      <c r="IP1" s="68" t="s">
        <v>405</v>
      </c>
      <c r="IQ1" s="68" t="s">
        <v>406</v>
      </c>
      <c r="IR1" s="68" t="s">
        <v>407</v>
      </c>
    </row>
    <row r="2" spans="1:312" ht="49" customHeight="1">
      <c r="A2" s="24" t="str">
        <f>B5</f>
        <v>Project Search Light</v>
      </c>
      <c r="B2" s="24" t="str">
        <f>B6</f>
        <v>北京、上海</v>
      </c>
      <c r="C2" s="25">
        <f>B7</f>
        <v>46160</v>
      </c>
      <c r="D2" s="25">
        <f>B8</f>
        <v>46163</v>
      </c>
      <c r="E2" s="39">
        <f>B12</f>
        <v>46160</v>
      </c>
      <c r="F2" s="26" t="str">
        <f>B13</f>
        <v>北京</v>
      </c>
      <c r="G2" s="27" t="str">
        <f>A15</f>
        <v>9:30-10:30</v>
      </c>
      <c r="H2" s="28" t="str">
        <f>B15 &amp; CHAR(10) &amp; C15 &amp; CHAR(10) &amp; D15</f>
        <v>1对1
线下会议
中文</v>
      </c>
      <c r="I2" s="102" t="e" vm="1">
        <f>G15 &amp; CHAR(10) &amp; F15</f>
        <v>#VALUE!</v>
      </c>
      <c r="J2" s="30" t="e" vm="1">
        <f>IF(H15="","",H15)</f>
        <v>#VALUE!</v>
      </c>
      <c r="K2" s="31" t="e" vm="1">
        <f>IF(I15="","",I15)</f>
        <v>#VALUE!</v>
      </c>
      <c r="L2" s="27" t="str">
        <f>A16</f>
        <v>11:15-12:15</v>
      </c>
      <c r="M2" s="28" t="str">
        <f>B16 &amp; CHAR(10) &amp; C16 &amp; CHAR(10) &amp; D16</f>
        <v>1对1
线下会议
中文</v>
      </c>
      <c r="N2" s="102" t="e" vm="1">
        <f>G16 &amp; CHAR(10) &amp; F16</f>
        <v>#VALUE!</v>
      </c>
      <c r="O2" s="30" t="e" vm="1">
        <f>IF(H16="","",H16)</f>
        <v>#VALUE!</v>
      </c>
      <c r="P2" s="31" t="e" vm="1">
        <f>IF(I16="","",I16)</f>
        <v>#VALUE!</v>
      </c>
      <c r="Q2" s="27" t="str">
        <f>A17</f>
        <v>12:30-14:00</v>
      </c>
      <c r="R2" s="28" t="str">
        <f>B17 &amp; CHAR(10) &amp; C17 &amp; CHAR(10) &amp; D17</f>
        <v>1对1
线下会议
中文</v>
      </c>
      <c r="S2" s="42" t="e" vm="1">
        <f>G17 &amp; CHAR(10) &amp; F17</f>
        <v>#VALUE!</v>
      </c>
      <c r="T2" s="44" t="e" vm="1">
        <f>IF(H17="","",H17)</f>
        <v>#VALUE!</v>
      </c>
      <c r="U2" s="43" t="e" vm="1">
        <f>IF(I17="","",I17)</f>
        <v>#VALUE!</v>
      </c>
      <c r="V2" s="49" t="str">
        <f>A18</f>
        <v>14:30-15:30</v>
      </c>
      <c r="W2" s="53" t="str">
        <f>B18 &amp; CHAR(10) &amp; C18 &amp; CHAR(10) &amp; D18</f>
        <v>1对1
线下会议
中文</v>
      </c>
      <c r="X2" s="60" t="e" vm="1">
        <f>G18 &amp; CHAR(10) &amp; F18</f>
        <v>#VALUE!</v>
      </c>
      <c r="Y2" s="46" t="e" vm="1">
        <f>IF(H18="","",H18)</f>
        <v>#VALUE!</v>
      </c>
      <c r="Z2" s="63" t="e" vm="1">
        <f>IF(I18="","",I18)</f>
        <v>#VALUE!</v>
      </c>
      <c r="AA2" s="50" t="str">
        <f>A19</f>
        <v>16:00-17:00</v>
      </c>
      <c r="AB2" s="53" t="str">
        <f>B19 &amp; CHAR(10) &amp; C19 &amp; CHAR(10) &amp; D19</f>
        <v>1对1
线下会议
中文</v>
      </c>
      <c r="AC2" s="60" t="e" vm="1">
        <f>G19 &amp; CHAR(10) &amp; F19</f>
        <v>#VALUE!</v>
      </c>
      <c r="AD2" s="45" t="e" vm="1">
        <f>IF(H19="","",H19)</f>
        <v>#VALUE!</v>
      </c>
      <c r="AE2" s="62" t="e" vm="1">
        <f>IF(I19="","",I19)</f>
        <v>#VALUE!</v>
      </c>
      <c r="AF2" s="51">
        <f>A20</f>
        <v>0</v>
      </c>
      <c r="AG2" s="54" t="str">
        <f>B20 &amp; CHAR(10) &amp; C20 &amp; CHAR(10) &amp; D20</f>
        <v xml:space="preserve">
</v>
      </c>
      <c r="AH2" s="59" t="e" vm="1">
        <f>G20 &amp; CHAR(10) &amp; F20</f>
        <v>#VALUE!</v>
      </c>
      <c r="AI2" s="45" t="e" vm="1">
        <f>IF(H20="","",H20)</f>
        <v>#VALUE!</v>
      </c>
      <c r="AJ2" s="62" t="e" vm="1">
        <f>IF(I20="","",I20)</f>
        <v>#VALUE!</v>
      </c>
      <c r="AK2" s="67">
        <f>B23</f>
        <v>46161</v>
      </c>
      <c r="AL2" s="68" t="str">
        <f>B24</f>
        <v>北京</v>
      </c>
      <c r="AM2" s="51" t="str">
        <f>A26</f>
        <v>9:30-10:30</v>
      </c>
      <c r="AN2" s="54" t="str">
        <f>B26 &amp; CHAR(10) &amp; C26 &amp; CHAR(10) &amp; D26</f>
        <v>1对1
线下会议
中文</v>
      </c>
      <c r="AO2" s="59" t="e" vm="1">
        <f>G26 &amp; CHAR(10) &amp; F26</f>
        <v>#VALUE!</v>
      </c>
      <c r="AP2" s="45" t="e" vm="1">
        <f>IF(H26="","",H26)</f>
        <v>#VALUE!</v>
      </c>
      <c r="AQ2" s="62" t="e" vm="1">
        <f>IF(I26="","",I26)</f>
        <v>#VALUE!</v>
      </c>
      <c r="AR2" s="49" t="str">
        <f>A27</f>
        <v>11:00-12:00</v>
      </c>
      <c r="AS2" s="55" t="str">
        <f>B27 &amp; CHAR(10) &amp; C27 &amp; CHAR(10) &amp; D27</f>
        <v>1对1
线下会议
中文</v>
      </c>
      <c r="AT2" s="59" t="e" vm="1">
        <f>G27 &amp; CHAR(10) &amp; F27</f>
        <v>#VALUE!</v>
      </c>
      <c r="AU2" s="45" t="e" vm="1">
        <f>IF(H27="","",H27)</f>
        <v>#VALUE!</v>
      </c>
      <c r="AV2" s="64" t="e" vm="1">
        <f>IF(I27="","",I27)</f>
        <v>#VALUE!</v>
      </c>
      <c r="AW2" s="50" t="str">
        <f>A28</f>
        <v>13:00-14:00</v>
      </c>
      <c r="AX2" s="54" t="str">
        <f>B28 &amp; CHAR(10) &amp; C28 &amp; CHAR(10) &amp; D28</f>
        <v>1对1
线下会议
中文</v>
      </c>
      <c r="AY2" s="60" t="e" vm="1">
        <f>G28 &amp; CHAR(10) &amp; F28</f>
        <v>#VALUE!</v>
      </c>
      <c r="AZ2" s="45" t="e" vm="1">
        <f>IF(H28="","",H28)</f>
        <v>#VALUE!</v>
      </c>
      <c r="BA2" s="62" t="e" vm="1">
        <f>IF(I28="","",I28)</f>
        <v>#VALUE!</v>
      </c>
      <c r="BB2" s="27" t="str">
        <f>A29</f>
        <v>14:30-15:30</v>
      </c>
      <c r="BC2" s="56" t="str">
        <f>B29 &amp; CHAR(10) &amp; C29 &amp; CHAR(10) &amp; D29</f>
        <v>1对1
线下会议
中文</v>
      </c>
      <c r="BD2" s="59" t="e" vm="1">
        <f>G29 &amp; CHAR(10) &amp; F29</f>
        <v>#VALUE!</v>
      </c>
      <c r="BE2" s="44" t="e" vm="1">
        <f>IF(H29="","",H29)</f>
        <v>#VALUE!</v>
      </c>
      <c r="BF2" s="62" t="e" vm="1">
        <f>IF(I29="","",I29)</f>
        <v>#VALUE!</v>
      </c>
      <c r="BG2" s="49">
        <f>A30</f>
        <v>0</v>
      </c>
      <c r="BH2" s="53" t="str">
        <f>B30 &amp; CHAR(10) &amp; C30 &amp; CHAR(10) &amp; D30</f>
        <v xml:space="preserve">
</v>
      </c>
      <c r="BI2" s="58" t="e" vm="1">
        <f>G30 &amp; CHAR(10) &amp; F30</f>
        <v>#VALUE!</v>
      </c>
      <c r="BJ2" s="46" t="e" vm="1">
        <f>IF(H30="","",H30)</f>
        <v>#VALUE!</v>
      </c>
      <c r="BK2" s="63" t="e" vm="1">
        <f>IF(I30="","",I30)</f>
        <v>#VALUE!</v>
      </c>
      <c r="BL2" s="50">
        <f>A31</f>
        <v>0</v>
      </c>
      <c r="BM2" s="53" t="str">
        <f>B31 &amp; CHAR(10) &amp; C31 &amp; CHAR(10) &amp; D31</f>
        <v xml:space="preserve">
</v>
      </c>
      <c r="BN2" s="58" t="e" vm="1">
        <f>G31 &amp; CHAR(10) &amp; F31</f>
        <v>#VALUE!</v>
      </c>
      <c r="BO2" s="45" t="e" vm="1">
        <f>IF(H31="","",H31)</f>
        <v>#VALUE!</v>
      </c>
      <c r="BP2" s="62" t="e" vm="1">
        <f>IF(I31="","",I31)</f>
        <v>#VALUE!</v>
      </c>
      <c r="BQ2" s="69">
        <f>B34</f>
        <v>46162</v>
      </c>
      <c r="BR2" s="70" t="str">
        <f>B35</f>
        <v>上海</v>
      </c>
      <c r="BS2" s="50" t="str">
        <f>A37</f>
        <v>9:30-10:30</v>
      </c>
      <c r="BT2" s="53" t="str">
        <f>B37 &amp; CHAR(10) &amp; C37 &amp; CHAR(10) &amp; D37</f>
        <v>1对1
线下会议
中文</v>
      </c>
      <c r="BU2" s="60" t="e" vm="1">
        <f>G37 &amp; CHAR(10) &amp; F37</f>
        <v>#VALUE!</v>
      </c>
      <c r="BV2" s="45" t="e" vm="1">
        <f>IF(H37="","",H37)</f>
        <v>#VALUE!</v>
      </c>
      <c r="BW2" s="62" t="e" vm="1">
        <f>IF(I37="","",I37)</f>
        <v>#VALUE!</v>
      </c>
      <c r="BX2" s="51" t="str">
        <f>A38</f>
        <v>11:00-12:00</v>
      </c>
      <c r="BY2" s="54" t="str">
        <f>B38 &amp; CHAR(10) &amp; C38 &amp; CHAR(10) &amp; D38</f>
        <v>1对1
线下会议
中文</v>
      </c>
      <c r="BZ2" s="59" t="e" vm="1">
        <f>G38&amp; CHAR(10) &amp; F38</f>
        <v>#VALUE!</v>
      </c>
      <c r="CA2" s="45" t="e" vm="1">
        <f>IF(H38="","",H38)</f>
        <v>#VALUE!</v>
      </c>
      <c r="CB2" s="62" t="e" vm="1">
        <f>IF(I38="","",I38)</f>
        <v>#VALUE!</v>
      </c>
      <c r="CC2" s="49" t="str">
        <f>A39</f>
        <v>14:00-15:00</v>
      </c>
      <c r="CD2" s="53" t="str">
        <f>B39 &amp; CHAR(10) &amp; C39 &amp; CHAR(10) &amp; D39</f>
        <v>1对1
线下会议
中文</v>
      </c>
      <c r="CE2" s="60" t="e" vm="1">
        <f>G39 &amp; CHAR(10) &amp; F39</f>
        <v>#VALUE!</v>
      </c>
      <c r="CF2" s="44" t="e" vm="1">
        <f>IF(H39="","",H39)</f>
        <v>#VALUE!</v>
      </c>
      <c r="CG2" s="63" t="e" vm="1">
        <f>IF(I39="","",I39)</f>
        <v>#VALUE!</v>
      </c>
      <c r="CH2" s="49" t="str">
        <f>A40</f>
        <v>15:30-16:30</v>
      </c>
      <c r="CI2" s="53" t="str">
        <f>B40 &amp; CHAR(10) &amp; C40 &amp; CHAR(10) &amp; D40</f>
        <v>1对1
线下会议
中文</v>
      </c>
      <c r="CJ2" s="60" t="e" vm="1">
        <f>G40 &amp; CHAR(10) &amp; F40</f>
        <v>#VALUE!</v>
      </c>
      <c r="CK2" s="47" t="e" vm="1">
        <f>IF(H40="","",H40)</f>
        <v>#VALUE!</v>
      </c>
      <c r="CL2" s="65" t="e" vm="1">
        <f>IF(I40="","",I40)</f>
        <v>#VALUE!</v>
      </c>
      <c r="CM2" s="52" t="str">
        <f>A41</f>
        <v>17:00-18:00</v>
      </c>
      <c r="CN2" s="56" t="str">
        <f>B41 &amp; CHAR(10) &amp; C41 &amp; CHAR(10) &amp; D41</f>
        <v>1对1
线下会议
中文</v>
      </c>
      <c r="CO2" s="59" t="e" vm="1">
        <f>G41 &amp; CHAR(10) &amp; F41</f>
        <v>#VALUE!</v>
      </c>
      <c r="CP2" s="44" t="e" vm="1">
        <f>IF(H41="","",H41)</f>
        <v>#VALUE!</v>
      </c>
      <c r="CQ2" s="66" t="e" vm="1">
        <f>IF(I41="","",I41)</f>
        <v>#VALUE!</v>
      </c>
      <c r="CR2" s="52">
        <f>A42</f>
        <v>0</v>
      </c>
      <c r="CS2" s="57" t="str">
        <f>B42 &amp; CHAR(10) &amp; C42 &amp; CHAR(10) &amp; D42</f>
        <v xml:space="preserve">
</v>
      </c>
      <c r="CT2" s="61" t="e" vm="1">
        <f>G42 &amp; CHAR(10) &amp; F42</f>
        <v>#VALUE!</v>
      </c>
      <c r="CU2" s="46" t="e" vm="1">
        <f>IF(H42="","",H42)</f>
        <v>#VALUE!</v>
      </c>
      <c r="CV2" s="63" t="e" vm="1">
        <f>IF(I42="","",I42)</f>
        <v>#VALUE!</v>
      </c>
      <c r="CW2" s="71">
        <f>B45</f>
        <v>46163</v>
      </c>
      <c r="CX2" s="72" t="str">
        <f>B46</f>
        <v>香港</v>
      </c>
      <c r="CY2" s="52" t="str">
        <f>A48</f>
        <v>9:30-10:30</v>
      </c>
      <c r="CZ2" s="57" t="str">
        <f>B48 &amp; CHAR(10) &amp; C48 &amp; CHAR(10) &amp; D48</f>
        <v>1对1
线下会议
中文</v>
      </c>
      <c r="DA2" s="103" t="e" vm="1">
        <f>G48 &amp; CHAR(10) &amp; F48</f>
        <v>#VALUE!</v>
      </c>
      <c r="DB2" s="46" t="e" vm="1">
        <f>IF(H48="","",H48)</f>
        <v>#VALUE!</v>
      </c>
      <c r="DC2" s="63" t="e" vm="1">
        <f>IF(I48="","",I48)</f>
        <v>#VALUE!</v>
      </c>
      <c r="DD2" s="50" t="str">
        <f>A49</f>
        <v>11:00-12:00</v>
      </c>
      <c r="DE2" s="57" t="str">
        <f>B49 &amp; CHAR(10) &amp; C49 &amp; CHAR(10) &amp; D49</f>
        <v>1对1
线下会议
中文</v>
      </c>
      <c r="DF2" s="103" t="e" vm="1">
        <f>G49&amp; CHAR(10) &amp; F49</f>
        <v>#VALUE!</v>
      </c>
      <c r="DG2" s="48" t="e" vm="1">
        <f>IF(H49="","",H49)</f>
        <v>#VALUE!</v>
      </c>
      <c r="DH2" s="66" t="e" vm="1">
        <f>IF(I49="","",I49)</f>
        <v>#VALUE!</v>
      </c>
      <c r="DI2" s="51" t="str">
        <f>A50</f>
        <v>14:30-15:30</v>
      </c>
      <c r="DJ2" s="29" t="str">
        <f>B50 &amp; CHAR(10) &amp; C50 &amp; CHAR(10) &amp; D50</f>
        <v>1对1
线下会议
中文</v>
      </c>
      <c r="DK2" s="59" t="e" vm="1">
        <f>G50 &amp; CHAR(10) &amp; F50</f>
        <v>#VALUE!</v>
      </c>
      <c r="DL2" s="48" t="e" vm="1">
        <f>IF(H50="","",H50)</f>
        <v>#VALUE!</v>
      </c>
      <c r="DM2" s="66" t="e" vm="1">
        <f>IF(I50="","",I50)</f>
        <v>#VALUE!</v>
      </c>
      <c r="DN2" s="52" t="str">
        <f>A51</f>
        <v>16:00-17:00</v>
      </c>
      <c r="DO2" s="57" t="str">
        <f>B51 &amp; CHAR(10) &amp; C51 &amp; CHAR(10) &amp; D51</f>
        <v>1对1
线下会议
中文</v>
      </c>
      <c r="DP2" s="60" t="e" vm="1">
        <f>G51 &amp; CHAR(10) &amp; F51</f>
        <v>#VALUE!</v>
      </c>
      <c r="DQ2" s="44" t="e" vm="1">
        <f>IF(H51="","",H51)</f>
        <v>#VALUE!</v>
      </c>
      <c r="DR2" s="63" t="e" vm="1">
        <f>IF(I51="","",I51)</f>
        <v>#VALUE!</v>
      </c>
      <c r="DS2" s="52">
        <f>A52</f>
        <v>0</v>
      </c>
      <c r="DT2" s="57" t="str">
        <f>B52 &amp; CHAR(10) &amp; C52 &amp; CHAR(10) &amp; D52</f>
        <v xml:space="preserve">
</v>
      </c>
      <c r="DU2" s="103" t="e" vm="1">
        <f>G52&amp; CHAR(10) &amp; F52</f>
        <v>#VALUE!</v>
      </c>
      <c r="DV2" s="48" t="e" vm="1">
        <f>IF(H52="","",H52)</f>
        <v>#VALUE!</v>
      </c>
      <c r="DW2" s="64" t="e" vm="1">
        <f>IF(I52="","",I52)</f>
        <v>#VALUE!</v>
      </c>
      <c r="DX2" s="50">
        <f>A53</f>
        <v>0</v>
      </c>
      <c r="DY2" s="54" t="str">
        <f>B53 &amp; CHAR(10) &amp; C53 &amp; CHAR(10) &amp; D53</f>
        <v xml:space="preserve">
</v>
      </c>
      <c r="DZ2" s="103" t="e" vm="1">
        <f>G53 &amp; CHAR(10) &amp; F53</f>
        <v>#VALUE!</v>
      </c>
      <c r="EA2" s="48" t="e" vm="1">
        <f>IF(H53="","",H53)</f>
        <v>#VALUE!</v>
      </c>
      <c r="EB2" s="66" t="e" vm="1">
        <f>IF(I53="","",I53)</f>
        <v>#VALUE!</v>
      </c>
      <c r="EC2" s="74" t="e" vm="1">
        <f>J15</f>
        <v>#VALUE!</v>
      </c>
      <c r="ED2" s="75" t="e" vm="1">
        <f>K15</f>
        <v>#VALUE!</v>
      </c>
      <c r="EE2" s="76" t="e" vm="1">
        <f>L15</f>
        <v>#VALUE!</v>
      </c>
      <c r="EF2" s="77" t="e" vm="1">
        <f>M15</f>
        <v>#VALUE!</v>
      </c>
      <c r="EG2" s="78" t="e" vm="1">
        <f>J16</f>
        <v>#VALUE!</v>
      </c>
      <c r="EH2" s="78" t="e" vm="1">
        <f>K16</f>
        <v>#VALUE!</v>
      </c>
      <c r="EI2" s="76" t="e" vm="1">
        <f>L16</f>
        <v>#VALUE!</v>
      </c>
      <c r="EJ2" s="76" t="e" vm="1">
        <f>M16</f>
        <v>#VALUE!</v>
      </c>
      <c r="EK2" s="76" t="e" vm="1">
        <f>J17</f>
        <v>#VALUE!</v>
      </c>
      <c r="EL2" s="76" t="e" vm="1">
        <f>K17</f>
        <v>#VALUE!</v>
      </c>
      <c r="EM2" s="76" t="e" vm="1">
        <f>L17</f>
        <v>#VALUE!</v>
      </c>
      <c r="EN2" s="76" t="e" vm="1">
        <f>M17</f>
        <v>#VALUE!</v>
      </c>
      <c r="EO2" s="78" t="e" vm="1">
        <f>J18</f>
        <v>#VALUE!</v>
      </c>
      <c r="EP2" s="78" t="e" vm="1">
        <f>K18</f>
        <v>#VALUE!</v>
      </c>
      <c r="EQ2" s="101" t="e" vm="1">
        <f>L18</f>
        <v>#VALUE!</v>
      </c>
      <c r="ER2" s="101" t="e" vm="1">
        <f>M18</f>
        <v>#VALUE!</v>
      </c>
      <c r="ES2" s="76" t="e" vm="1">
        <f>J19</f>
        <v>#VALUE!</v>
      </c>
      <c r="ET2" s="76" t="e" vm="1">
        <f>K19</f>
        <v>#VALUE!</v>
      </c>
      <c r="EU2" s="76" t="e" vm="1">
        <f>L19</f>
        <v>#VALUE!</v>
      </c>
      <c r="EV2" s="76" t="e" vm="1">
        <f>M19</f>
        <v>#VALUE!</v>
      </c>
      <c r="EW2" s="76" t="e" vm="1">
        <f>J20</f>
        <v>#VALUE!</v>
      </c>
      <c r="EX2" s="76" t="e" vm="1">
        <f>K20</f>
        <v>#VALUE!</v>
      </c>
      <c r="EY2" s="76" t="e" vm="1">
        <f>L20</f>
        <v>#VALUE!</v>
      </c>
      <c r="EZ2" s="76" t="e" vm="1">
        <f>M20</f>
        <v>#VALUE!</v>
      </c>
      <c r="FA2" s="79" t="e" vm="1">
        <f>J26</f>
        <v>#VALUE!</v>
      </c>
      <c r="FB2" s="79" t="e" vm="1">
        <f>K26</f>
        <v>#VALUE!</v>
      </c>
      <c r="FC2" s="68" t="e" vm="1">
        <f>L26</f>
        <v>#VALUE!</v>
      </c>
      <c r="FD2" s="68" t="e" vm="1">
        <f>M26</f>
        <v>#VALUE!</v>
      </c>
      <c r="FE2" s="72" t="e" vm="1">
        <f>J27</f>
        <v>#VALUE!</v>
      </c>
      <c r="FF2" s="72" t="e" vm="1">
        <f>K27</f>
        <v>#VALUE!</v>
      </c>
      <c r="FG2" s="72" t="e" vm="1">
        <f>L27</f>
        <v>#VALUE!</v>
      </c>
      <c r="FH2" s="72" t="e" vm="1">
        <f>M27</f>
        <v>#VALUE!</v>
      </c>
      <c r="FI2" s="70" t="e" vm="1">
        <f>J28</f>
        <v>#VALUE!</v>
      </c>
      <c r="FJ2" s="70" t="e" vm="1">
        <f>K28</f>
        <v>#VALUE!</v>
      </c>
      <c r="FK2" s="40" t="e" vm="1">
        <f>L28</f>
        <v>#VALUE!</v>
      </c>
      <c r="FL2" s="40" t="e" vm="1">
        <f>M28</f>
        <v>#VALUE!</v>
      </c>
      <c r="FM2" s="72" t="e" vm="1">
        <f>J29</f>
        <v>#VALUE!</v>
      </c>
      <c r="FN2" s="72" t="e" vm="1">
        <f>K29</f>
        <v>#VALUE!</v>
      </c>
      <c r="FO2" s="72" t="e" vm="1">
        <f>L29</f>
        <v>#VALUE!</v>
      </c>
      <c r="FP2" s="72" t="e" vm="1">
        <f>M29</f>
        <v>#VALUE!</v>
      </c>
      <c r="FQ2" s="70" t="e" vm="1">
        <f>J30</f>
        <v>#VALUE!</v>
      </c>
      <c r="FR2" s="70" t="e" vm="1">
        <f>K30</f>
        <v>#VALUE!</v>
      </c>
      <c r="FS2" s="70" t="e" vm="1">
        <f>L30</f>
        <v>#VALUE!</v>
      </c>
      <c r="FT2" s="70" t="e" vm="1">
        <f>M30</f>
        <v>#VALUE!</v>
      </c>
      <c r="FU2" s="40" t="e" vm="1">
        <f>J31</f>
        <v>#VALUE!</v>
      </c>
      <c r="FV2" s="40" t="e" vm="1">
        <f>K31</f>
        <v>#VALUE!</v>
      </c>
      <c r="FW2" s="40" t="e" vm="1">
        <f>L31</f>
        <v>#VALUE!</v>
      </c>
      <c r="FX2" s="40" t="e" vm="1">
        <f>M31</f>
        <v>#VALUE!</v>
      </c>
      <c r="FY2" s="81" t="e" vm="1">
        <f>J37</f>
        <v>#VALUE!</v>
      </c>
      <c r="FZ2" s="81" t="e" vm="1">
        <f>K37</f>
        <v>#VALUE!</v>
      </c>
      <c r="GA2" s="81" t="e" vm="1">
        <f>L37</f>
        <v>#VALUE!</v>
      </c>
      <c r="GB2" s="81" t="e" vm="1">
        <f>M37</f>
        <v>#VALUE!</v>
      </c>
      <c r="GC2" s="81" t="e" vm="1">
        <f>J38</f>
        <v>#VALUE!</v>
      </c>
      <c r="GD2" s="81" t="e" vm="1">
        <f>K38</f>
        <v>#VALUE!</v>
      </c>
      <c r="GE2" s="81" t="e" vm="1">
        <f>L38</f>
        <v>#VALUE!</v>
      </c>
      <c r="GF2" s="81" t="e" vm="1">
        <f>M38</f>
        <v>#VALUE!</v>
      </c>
      <c r="GG2" s="81" t="e" vm="1">
        <f>J39</f>
        <v>#VALUE!</v>
      </c>
      <c r="GH2" s="81" t="e" vm="1">
        <f>K39</f>
        <v>#VALUE!</v>
      </c>
      <c r="GI2" s="81" t="e" vm="1">
        <f>L39</f>
        <v>#VALUE!</v>
      </c>
      <c r="GJ2" s="81" t="e" vm="1">
        <f>M39</f>
        <v>#VALUE!</v>
      </c>
      <c r="GK2" s="81" t="e" vm="1">
        <f>J40</f>
        <v>#VALUE!</v>
      </c>
      <c r="GL2" s="81" t="e" vm="1">
        <f>K40</f>
        <v>#VALUE!</v>
      </c>
      <c r="GM2" s="81" t="e" vm="1">
        <f>L40</f>
        <v>#VALUE!</v>
      </c>
      <c r="GN2" s="81" t="e" vm="1">
        <f>M40</f>
        <v>#VALUE!</v>
      </c>
      <c r="GO2" s="81" t="e" vm="1">
        <f>J41</f>
        <v>#VALUE!</v>
      </c>
      <c r="GP2" s="81" t="e" vm="1">
        <f>K41</f>
        <v>#VALUE!</v>
      </c>
      <c r="GQ2" s="81" t="e" vm="1">
        <f>L41</f>
        <v>#VALUE!</v>
      </c>
      <c r="GR2" s="81" t="e" vm="1">
        <f>M41</f>
        <v>#VALUE!</v>
      </c>
      <c r="GS2" s="81" t="e" vm="1">
        <f>J42</f>
        <v>#VALUE!</v>
      </c>
      <c r="GT2" s="81" t="e" vm="1">
        <f>K42</f>
        <v>#VALUE!</v>
      </c>
      <c r="GU2" s="81" t="e" vm="1">
        <f>L42</f>
        <v>#VALUE!</v>
      </c>
      <c r="GV2" s="81" t="e" vm="1">
        <f>M42</f>
        <v>#VALUE!</v>
      </c>
      <c r="GW2" s="83" t="str">
        <f>J48</f>
        <v/>
      </c>
      <c r="GX2" s="83" t="e" vm="1">
        <f>K48</f>
        <v>#VALUE!</v>
      </c>
      <c r="GY2" s="83" t="e" vm="1">
        <f>L48</f>
        <v>#VALUE!</v>
      </c>
      <c r="GZ2" s="83" t="e" vm="1">
        <f>M48</f>
        <v>#VALUE!</v>
      </c>
      <c r="HA2" s="83" t="str">
        <f>J49</f>
        <v/>
      </c>
      <c r="HB2" s="83" t="e" vm="1">
        <f>K49</f>
        <v>#VALUE!</v>
      </c>
      <c r="HC2" s="83" t="e" vm="1">
        <f>L49</f>
        <v>#VALUE!</v>
      </c>
      <c r="HD2" s="83" t="e" vm="1">
        <f>M49</f>
        <v>#VALUE!</v>
      </c>
      <c r="HE2" s="83" t="str">
        <f>J50</f>
        <v/>
      </c>
      <c r="HF2" s="83" t="e" vm="1">
        <f>K50</f>
        <v>#VALUE!</v>
      </c>
      <c r="HG2" s="83" t="e" vm="1">
        <f>L50</f>
        <v>#VALUE!</v>
      </c>
      <c r="HH2" s="83" t="e" vm="1">
        <f>M50</f>
        <v>#VALUE!</v>
      </c>
      <c r="HI2" s="83" t="str">
        <f>J51</f>
        <v/>
      </c>
      <c r="HJ2" s="83" t="e" vm="1">
        <f>K51</f>
        <v>#VALUE!</v>
      </c>
      <c r="HK2" s="83" t="e" vm="1">
        <f>L51</f>
        <v>#VALUE!</v>
      </c>
      <c r="HL2" s="83" t="e" vm="1">
        <f>M51</f>
        <v>#VALUE!</v>
      </c>
      <c r="HM2" s="83" t="str">
        <f>J52</f>
        <v/>
      </c>
      <c r="HN2" s="83" t="e" vm="1">
        <f>K52</f>
        <v>#VALUE!</v>
      </c>
      <c r="HO2" s="83" t="e" vm="1">
        <f>L52</f>
        <v>#VALUE!</v>
      </c>
      <c r="HP2" s="83" t="e" vm="1">
        <f>M52</f>
        <v>#VALUE!</v>
      </c>
      <c r="HQ2" s="83" t="str">
        <f>J53</f>
        <v/>
      </c>
      <c r="HR2" s="83" t="e" vm="1">
        <f>K53</f>
        <v>#VALUE!</v>
      </c>
      <c r="HS2" s="83" t="e" vm="1">
        <f>L53</f>
        <v>#VALUE!</v>
      </c>
      <c r="HT2" s="83" t="e" vm="1">
        <f>M53</f>
        <v>#VALUE!</v>
      </c>
      <c r="HU2" s="79" t="str">
        <f>S15 &amp; CHAR(10) &amp; CHAR(10) &amp; D15</f>
        <v>1x1
中文</v>
      </c>
      <c r="HV2" s="79" t="str">
        <f>S16 &amp; CHAR(10) &amp; CHAR(10) &amp; D16</f>
        <v>1x1
中文</v>
      </c>
      <c r="HW2" s="79" t="str">
        <f>S17 &amp; CHAR(10) &amp; CHAR(10) &amp; D17</f>
        <v>1x1
中文</v>
      </c>
      <c r="HX2" s="121" t="str">
        <f>S18 &amp; CHAR(10) &amp; CHAR(10) &amp; D18</f>
        <v>1x1
中文</v>
      </c>
      <c r="HY2" s="79" t="str">
        <f>S18 &amp; CHAR(10) &amp; CHAR(10) &amp; D18</f>
        <v>1x1
中文</v>
      </c>
      <c r="HZ2" s="79" t="str">
        <f>S20 &amp; CHAR(10) &amp; CHAR(10) &amp; D20</f>
        <v xml:space="preserve">0
</v>
      </c>
      <c r="IA2" s="79" t="str">
        <f>S26 &amp; CHAR(10) &amp; CHAR(10) &amp; D26</f>
        <v>1x1
中文</v>
      </c>
      <c r="IB2" s="79" t="str">
        <f>S27 &amp; CHAR(10) &amp; CHAR(10) &amp; D27</f>
        <v>1x1
中文</v>
      </c>
      <c r="IC2" s="79" t="str">
        <f>S28 &amp; CHAR(10) &amp; CHAR(10) &amp; D28</f>
        <v>1x1
中文</v>
      </c>
      <c r="ID2" s="79" t="str">
        <f>S29 &amp; CHAR(10) &amp; CHAR(10) &amp; D29</f>
        <v>1x1
中文</v>
      </c>
      <c r="IE2" s="79" t="str">
        <f>S30 &amp; CHAR(10) &amp; CHAR(10) &amp; D30</f>
        <v xml:space="preserve">0
</v>
      </c>
      <c r="IF2" s="79" t="str">
        <f>S31 &amp; CHAR(10) &amp; CHAR(10) &amp; D31</f>
        <v xml:space="preserve">0
</v>
      </c>
      <c r="IG2" s="79" t="str">
        <f>S37 &amp; CHAR(10) &amp; CHAR(10) &amp; D37</f>
        <v>1x1
中文</v>
      </c>
      <c r="IH2" s="79" t="str">
        <f>S38 &amp; CHAR(10) &amp; CHAR(10) &amp; D38</f>
        <v>1x1
中文</v>
      </c>
      <c r="II2" s="79" t="str">
        <f>S39 &amp; CHAR(10) &amp; CHAR(10) &amp; D39</f>
        <v>1x1
中文</v>
      </c>
      <c r="IJ2" s="79" t="str">
        <f>S40 &amp; CHAR(10) &amp; CHAR(10) &amp; D40</f>
        <v>1x1
中文</v>
      </c>
      <c r="IK2" s="79" t="str">
        <f>S41 &amp; CHAR(10) &amp; CHAR(10) &amp; D41</f>
        <v>1x1
中文</v>
      </c>
      <c r="IL2" s="79" t="str">
        <f>S42 &amp; CHAR(10) &amp; CHAR(10) &amp; D42</f>
        <v xml:space="preserve">0
</v>
      </c>
      <c r="IM2" s="79" t="str">
        <f>S48 &amp; CHAR(10) &amp; CHAR(10) &amp; D48</f>
        <v>1x1
中文</v>
      </c>
      <c r="IN2" s="79" t="str">
        <f>S49 &amp; CHAR(10) &amp; CHAR(10) &amp; D49</f>
        <v>1x1
中文</v>
      </c>
      <c r="IO2" s="79" t="str">
        <f>S50 &amp; CHAR(10) &amp; CHAR(10) &amp; D50</f>
        <v>1x1
中文</v>
      </c>
      <c r="IP2" s="79" t="str">
        <f>S51 &amp; CHAR(10) &amp; CHAR(10) &amp; D51</f>
        <v>1x1
中文</v>
      </c>
      <c r="IQ2" s="79" t="str">
        <f>S52 &amp; CHAR(10) &amp; CHAR(10) &amp; D52</f>
        <v xml:space="preserve">0
</v>
      </c>
      <c r="IR2" s="79" t="str">
        <f>S53 &amp; CHAR(10) &amp; CHAR(10) &amp; D53</f>
        <v xml:space="preserve">0
</v>
      </c>
      <c r="JI2" s="34"/>
      <c r="JJ2" s="34"/>
      <c r="JK2" s="34"/>
      <c r="JL2" s="34"/>
      <c r="JM2" s="34"/>
      <c r="JN2" s="34"/>
      <c r="JO2" s="34"/>
      <c r="JP2" s="34"/>
      <c r="JQ2" s="34"/>
      <c r="JR2" s="34"/>
      <c r="JS2" s="34"/>
      <c r="JT2" s="34"/>
      <c r="JU2" s="34"/>
      <c r="JV2" s="34"/>
      <c r="JW2" s="34"/>
      <c r="JX2" s="34"/>
      <c r="JY2" s="34"/>
      <c r="JZ2" s="34"/>
      <c r="KA2" s="34"/>
      <c r="KB2" s="34"/>
      <c r="KC2" s="34"/>
      <c r="KD2" s="34"/>
      <c r="KE2" s="34"/>
      <c r="KF2" s="34"/>
      <c r="KG2" s="34"/>
      <c r="KH2" s="34"/>
      <c r="KI2" s="34"/>
      <c r="KJ2" s="34"/>
      <c r="KK2" s="34"/>
      <c r="KL2" s="34"/>
      <c r="KM2" s="34"/>
      <c r="KN2" s="34"/>
      <c r="KO2" s="34"/>
      <c r="KP2" s="34"/>
      <c r="KQ2" s="34"/>
      <c r="KR2" s="34"/>
      <c r="KS2" s="34"/>
      <c r="KT2" s="34"/>
      <c r="KU2" s="34"/>
      <c r="KV2" s="34"/>
      <c r="KW2" s="34"/>
      <c r="KX2" s="34"/>
      <c r="KY2" s="34"/>
      <c r="KZ2" s="34"/>
    </row>
    <row r="3" spans="1:312">
      <c r="Q3" s="23"/>
    </row>
    <row r="4" spans="1:312">
      <c r="A4" s="73" t="s">
        <v>228</v>
      </c>
      <c r="Q4" s="23"/>
    </row>
    <row r="5" spans="1:312">
      <c r="A5" s="91" t="s">
        <v>0</v>
      </c>
      <c r="B5" s="87" t="s">
        <v>521</v>
      </c>
      <c r="Q5" s="23"/>
    </row>
    <row r="6" spans="1:312">
      <c r="A6" s="91" t="s">
        <v>1</v>
      </c>
      <c r="B6" s="86" t="s">
        <v>544</v>
      </c>
      <c r="Q6" s="23"/>
    </row>
    <row r="7" spans="1:312">
      <c r="A7" s="91" t="s">
        <v>2</v>
      </c>
      <c r="B7" s="92">
        <v>46160</v>
      </c>
      <c r="Q7" s="23"/>
    </row>
    <row r="8" spans="1:312">
      <c r="A8" s="91" t="s">
        <v>3</v>
      </c>
      <c r="B8" s="92">
        <v>46163</v>
      </c>
    </row>
    <row r="11" spans="1:312">
      <c r="A11" s="73" t="s">
        <v>229</v>
      </c>
      <c r="L11" t="s">
        <v>354</v>
      </c>
    </row>
    <row r="12" spans="1:312">
      <c r="A12" s="98" t="s">
        <v>4</v>
      </c>
      <c r="B12" s="95">
        <v>46160</v>
      </c>
    </row>
    <row r="13" spans="1:312">
      <c r="A13" s="99" t="s">
        <v>5</v>
      </c>
      <c r="B13" s="86" t="s">
        <v>545</v>
      </c>
    </row>
    <row r="14" spans="1:312">
      <c r="A14" s="85" t="s">
        <v>230</v>
      </c>
      <c r="B14" s="85" t="s">
        <v>231</v>
      </c>
      <c r="C14" s="85" t="s">
        <v>232</v>
      </c>
      <c r="D14" s="85" t="s">
        <v>233</v>
      </c>
      <c r="E14" s="100" t="s">
        <v>366</v>
      </c>
      <c r="F14" s="85" t="s">
        <v>355</v>
      </c>
      <c r="G14" s="85" t="s">
        <v>356</v>
      </c>
      <c r="H14" s="85" t="s">
        <v>234</v>
      </c>
      <c r="I14" s="85" t="s">
        <v>235</v>
      </c>
      <c r="J14" s="85" t="s">
        <v>236</v>
      </c>
      <c r="K14" s="85" t="s">
        <v>237</v>
      </c>
      <c r="L14" s="85" t="s">
        <v>238</v>
      </c>
      <c r="M14" s="85" t="s">
        <v>367</v>
      </c>
      <c r="N14" s="85" t="str">
        <f>"In " &amp;ringfence!A$1&amp; " ringfence?"</f>
        <v>In CMS ringfence?</v>
      </c>
      <c r="O14" s="85" t="str">
        <f>"In " &amp;ringfence!B$1&amp; " ringfence?"</f>
        <v>In 银河 ringfence?</v>
      </c>
      <c r="P14" s="85" t="str">
        <f>"In " &amp;ringfence!C$1&amp; " ringfence?"</f>
        <v>In Bank3 ringfence?</v>
      </c>
      <c r="Q14" s="85" t="str">
        <f>"In " &amp;ringfence!D$1&amp; " ringfence?"</f>
        <v>In Bank4 ringfence?</v>
      </c>
      <c r="R14" s="85" t="str">
        <f>"In " &amp;ringfence!E$1&amp; " ringfence?"</f>
        <v>In Bank5 ringfence?</v>
      </c>
      <c r="S14" s="87" t="s">
        <v>493</v>
      </c>
      <c r="T14" s="87" t="s">
        <v>493</v>
      </c>
    </row>
    <row r="15" spans="1:312" ht="85">
      <c r="A15" s="150" t="s">
        <v>505</v>
      </c>
      <c r="B15" s="88" t="s">
        <v>239</v>
      </c>
      <c r="C15" s="89" t="s">
        <v>240</v>
      </c>
      <c r="D15" s="89" t="s">
        <v>241</v>
      </c>
      <c r="E15" s="94" t="s">
        <v>584</v>
      </c>
      <c r="F15" s="87" t="e" cm="1" vm="2">
        <f t="array" ref="F15">IF(E15="","",
_xlfn._xlws.FILTER(
    IF(CompanyName1[]="","",CompanyName1[]),
    (ISNUMBER(SEARCH(E15,CompanyName1[机构名称（英文）]&amp;"")) +
     ISNUMBER(SEARCH(E15,CompanyName1[机构名称（中文）]&amp;"")))&gt;0
))</f>
        <v>#VALUE!</v>
      </c>
      <c r="G15" s="87"/>
      <c r="H15" s="90" t="e" vm="1">
        <f>IF(AND($F15="", $G15=""), "",
  _xlfn.IFNA(_xlfn.XLOOKUP($F15, database!$C:$C, database!$I:$I),
  _xlfn.IFNA(_xlfn.XLOOKUP($F15, database!$D:$D, database!$I:$I),
  _xlfn.IFNA(_xlfn.XLOOKUP($G15, database!$C:$C, database!$I:$I),
  _xlfn.IFNA(_xlfn.XLOOKUP($G15, database!$D:$D, database!$I:$I), "")))) &amp; ""
)</f>
        <v>#VALUE!</v>
      </c>
      <c r="I15" s="87" t="e" vm="1">
        <f>IF(AND($F15="", $G15=""), "",
  _xlfn.IFNA(_xlfn.XLOOKUP($F15, database!$C:$C, database!$J:$J),
  _xlfn.IFNA(_xlfn.XLOOKUP($F15, database!$D:$D, database!$J:$J),
  _xlfn.IFNA(_xlfn.XLOOKUP($G15, database!$C:$C, database!$J:$J),
  _xlfn.IFNA(_xlfn.XLOOKUP($G15, database!$D:$D, database!$J:$J), "")))) &amp; ""
)</f>
        <v>#VALUE!</v>
      </c>
      <c r="J15" s="87" t="e" vm="1">
        <f>IF(AND($F15="", $G15=""), "",
  _xlfn.IFNA(_xlfn.XLOOKUP($F15, database!$C:$C, database!$E:$E),
  _xlfn.IFNA(_xlfn.XLOOKUP($F15, database!$D:$D, database!$E:$E),
  _xlfn.IFNA(_xlfn.XLOOKUP($G15, database!$C:$C, database!$E:$E),
  _xlfn.IFNA(_xlfn.XLOOKUP($G15, database!$D:$D, database!$E:$E), ""))))
)</f>
        <v>#VALUE!</v>
      </c>
      <c r="K15" s="87" t="e" vm="1">
        <f>IF(AND($F15="", $G15=""), "",
  _xlfn.IFNA(_xlfn.XLOOKUP($F15, database!$C:$C, database!$K:$K),
  _xlfn.IFNA(_xlfn.XLOOKUP($F15, database!$D:$D, database!$K:$K),
  _xlfn.IFNA(_xlfn.XLOOKUP($G15, database!$C:$C, database!$K:$K),
  _xlfn.IFNA(_xlfn.XLOOKUP($G15, database!$D:$D, database!$K:$K), "")))) &amp; ""
)</f>
        <v>#VALUE!</v>
      </c>
      <c r="L15" s="165" t="e" vm="1">
        <f>IF(AND($F15="", $G15=""), "",
  _xlfn.IFNA(_xlfn.XLOOKUP($F15, database!$C:$C, database!$F:$F),
  _xlfn.IFNA(_xlfn.XLOOKUP($F15, database!$D:$D, database!$F:$F),
  _xlfn.IFNA(_xlfn.XLOOKUP($G15, database!$C:$C, database!$F:$F),
  _xlfn.IFNA(_xlfn.XLOOKUP($G15, database!$D:$D, database!$F:$F), "")))) &amp; ""
)</f>
        <v>#VALUE!</v>
      </c>
      <c r="M15" s="105" t="e" vm="1">
        <f>IF(AND($F15="", $G15=""), "",
  _xlfn.IFNA(_xlfn.XLOOKUP($F15, database!$C:$C, database!$G:$G),
  _xlfn.IFNA(_xlfn.XLOOKUP($F15, database!$D:$D, database!$G:$G),
  _xlfn.IFNA(_xlfn.XLOOKUP($G15, database!$C:$C, database!$G:$G),
  _xlfn.IFNA(_xlfn.XLOOKUP($G15, database!$D:$D, database!$G:$G), "")))) &amp; ""
)</f>
        <v>#VALUE!</v>
      </c>
      <c r="N15" t="e" vm="1">
        <f>IF(AND($F15="", $G15=""), "",
   IF(OR(
        IF($F15&lt;&gt;"", COUNTIF(ringfence!A$2:A$10000, "*"&amp;$F15&amp;"*"), 0)&gt;0,
        IF($G15&lt;&gt;"", COUNTIF(ringfence!A$2:A$10000, "*"&amp;$G15&amp;"*"), 0)&gt;0
   ),
   "Yes", "No")
)</f>
        <v>#VALUE!</v>
      </c>
      <c r="O15" t="e" vm="1">
        <f>IF(AND($F15="", $G15=""), "",
   IF(OR(
        IF($F15&lt;&gt;"", COUNTIF(ringfence!B$2:B$10000, "*"&amp;$F15&amp;"*"), 0)&gt;0,
        IF($G15&lt;&gt;"", COUNTIF(ringfence!B$2:B$10000, "*"&amp;$G15&amp;"*"), 0)&gt;0
   ),
   "Yes", "No")
)</f>
        <v>#VALUE!</v>
      </c>
      <c r="P15" t="e" vm="1">
        <f>IF(AND($F15="", $G15=""), "",
   IF(OR(
        IF($F15&lt;&gt;"", COUNTIF(ringfence!C$2:C$10000, "*"&amp;$F15&amp;"*"), 0)&gt;0,
        IF($G15&lt;&gt;"", COUNTIF(ringfence!C$2:C$10000, "*"&amp;$G15&amp;"*"), 0)&gt;0
   ),
   "Yes", "No")
)</f>
        <v>#VALUE!</v>
      </c>
      <c r="Q15" t="e" vm="1">
        <f>IF(AND($F15="", $G15=""), "",
   IF(OR(
        IF($F15&lt;&gt;"", COUNTIF(ringfence!D$2:D$10000, "*"&amp;$F15&amp;"*"), 0)&gt;0,
        IF($G15&lt;&gt;"", COUNTIF(ringfence!D$2:D$10000, "*"&amp;$G15&amp;"*"), 0)&gt;0
   ),
   "Yes", "No")
)</f>
        <v>#VALUE!</v>
      </c>
      <c r="R15" t="e" vm="1">
        <f>IF(AND($F15="", $G15=""), "",
   IF(OR(
        IF($F15&lt;&gt;"", COUNTIF(ringfence!E$2:E$10000, "*"&amp;$F15&amp;"*"), 0)&gt;0,
        IF($G15&lt;&gt;"", COUNTIF(ringfence!E$2:E$10000, "*"&amp;$G15&amp;"*"), 0)&gt;0
   ),
   "Yes", "No")
)</f>
        <v>#VALUE!</v>
      </c>
      <c r="S15" t="str" cm="1">
        <f t="array" ref="S15">_xlfn.IFS(
    B15="1对1", "1x1",
    B15="1对2", "1x2",
    B15="小组会议", "小组会议",
    TRUE, B15
)</f>
        <v>1x1</v>
      </c>
      <c r="T15" s="32" t="e" vm="1">
        <f t="shared" ref="T15:T20" si="0">G15 &amp; CHAR(10) &amp; F15</f>
        <v>#VALUE!</v>
      </c>
      <c r="W15" s="23"/>
      <c r="X15" s="23"/>
      <c r="Y15" s="23"/>
      <c r="Z15" s="23"/>
      <c r="AA15" s="23"/>
      <c r="AB15" s="23"/>
    </row>
    <row r="16" spans="1:312" ht="68">
      <c r="A16" s="87" t="s">
        <v>546</v>
      </c>
      <c r="B16" s="88" t="s">
        <v>239</v>
      </c>
      <c r="C16" s="89" t="s">
        <v>240</v>
      </c>
      <c r="D16" s="89" t="s">
        <v>241</v>
      </c>
      <c r="E16" s="94" t="s">
        <v>585</v>
      </c>
      <c r="F16" s="87" t="e" cm="1" vm="2">
        <f t="array" ref="F16">IF(E16="","",
_xlfn._xlws.FILTER(
    IF(CompanyName1[]="","",CompanyName1[]),
    (ISNUMBER(SEARCH(E16,CompanyName1[机构名称（英文）]&amp;"")) +
     ISNUMBER(SEARCH(E16,CompanyName1[机构名称（中文）]&amp;"")))&gt;0
))</f>
        <v>#VALUE!</v>
      </c>
      <c r="G16" s="87"/>
      <c r="H16" s="90" t="e" vm="1">
        <f>IF(AND($F16="", $G16=""), "",
  _xlfn.IFNA(_xlfn.XLOOKUP($F16, database!$C:$C, database!$I:$I),
  _xlfn.IFNA(_xlfn.XLOOKUP($F16, database!$D:$D, database!$I:$I),
  _xlfn.IFNA(_xlfn.XLOOKUP($G16, database!$C:$C, database!$I:$I),
  _xlfn.IFNA(_xlfn.XLOOKUP($G16, database!$D:$D, database!$I:$I), "")))) &amp; ""
)</f>
        <v>#VALUE!</v>
      </c>
      <c r="I16" s="87" t="e" vm="1">
        <f>IF(AND($F16="", $G16=""), "",
  _xlfn.IFNA(_xlfn.XLOOKUP($F16, database!$C:$C, database!$J:$J),
  _xlfn.IFNA(_xlfn.XLOOKUP($F16, database!$D:$D, database!$J:$J),
  _xlfn.IFNA(_xlfn.XLOOKUP($G16, database!$C:$C, database!$J:$J),
  _xlfn.IFNA(_xlfn.XLOOKUP($G16, database!$D:$D, database!$J:$J), "")))) &amp; ""
)</f>
        <v>#VALUE!</v>
      </c>
      <c r="J16" s="87" t="e" vm="1">
        <f>IF(AND($F16="", $G16=""), "",
  _xlfn.IFNA(_xlfn.XLOOKUP($F16, database!$C:$C, database!$E:$E),
  _xlfn.IFNA(_xlfn.XLOOKUP($F16, database!$D:$D, database!$E:$E),
  _xlfn.IFNA(_xlfn.XLOOKUP($G16, database!$C:$C, database!$E:$E),
  _xlfn.IFNA(_xlfn.XLOOKUP($G16, database!$D:$D, database!$E:$E), ""))))
)</f>
        <v>#VALUE!</v>
      </c>
      <c r="K16" s="87" t="e" vm="1">
        <f>IF(AND($F16="", $G16=""), "",
  _xlfn.IFNA(_xlfn.XLOOKUP($F16, database!$C:$C, database!$K:$K),
  _xlfn.IFNA(_xlfn.XLOOKUP($F16, database!$D:$D, database!$K:$K),
  _xlfn.IFNA(_xlfn.XLOOKUP($G16, database!$C:$C, database!$K:$K),
  _xlfn.IFNA(_xlfn.XLOOKUP($G16, database!$D:$D, database!$K:$K), "")))) &amp; ""
)</f>
        <v>#VALUE!</v>
      </c>
      <c r="L16" s="165" t="e" vm="1">
        <f>IF(AND($F16="", $G16=""), "",
  _xlfn.IFNA(_xlfn.XLOOKUP($F16, database!$C:$C, database!$F:$F),
  _xlfn.IFNA(_xlfn.XLOOKUP($F16, database!$D:$D, database!$F:$F),
  _xlfn.IFNA(_xlfn.XLOOKUP($G16, database!$C:$C, database!$F:$F),
  _xlfn.IFNA(_xlfn.XLOOKUP($G16, database!$D:$D, database!$F:$F), "")))) &amp; ""
)</f>
        <v>#VALUE!</v>
      </c>
      <c r="M16" s="105" t="e" vm="1">
        <f>IF(AND($F16="", $G16=""), "",
  _xlfn.IFNA(_xlfn.XLOOKUP($F16, database!$C:$C, database!$G:$G),
  _xlfn.IFNA(_xlfn.XLOOKUP($F16, database!$D:$D, database!$G:$G),
  _xlfn.IFNA(_xlfn.XLOOKUP($G16, database!$C:$C, database!$G:$G),
  _xlfn.IFNA(_xlfn.XLOOKUP($G16, database!$D:$D, database!$G:$G), "")))) &amp; ""
)</f>
        <v>#VALUE!</v>
      </c>
      <c r="N16" t="e" vm="1">
        <f>IF(AND($F16="", $G16=""), "",
   IF(OR(
        IF($F16&lt;&gt;"", COUNTIF(ringfence!A$2:A$10000, "*"&amp;$F16&amp;"*"), 0)&gt;0,
        IF($G16&lt;&gt;"", COUNTIF(ringfence!A$2:A$10000, "*"&amp;$G16&amp;"*"), 0)&gt;0
   ),
   "Yes", "No")
)</f>
        <v>#VALUE!</v>
      </c>
      <c r="O16" t="e" vm="1">
        <f>IF(AND($F16="", $G16=""), "",
   IF(OR(
        IF($F16&lt;&gt;"", COUNTIF(ringfence!B$2:B$10000, "*"&amp;$F16&amp;"*"), 0)&gt;0,
        IF($G16&lt;&gt;"", COUNTIF(ringfence!B$2:B$10000, "*"&amp;$G16&amp;"*"), 0)&gt;0
   ),
   "Yes", "No")
)</f>
        <v>#VALUE!</v>
      </c>
      <c r="P16" t="e" vm="1">
        <f>IF(AND($F16="", $G16=""), "",
   IF(OR(
        IF($F16&lt;&gt;"", COUNTIF(ringfence!C$2:C$10000, "*"&amp;$F16&amp;"*"), 0)&gt;0,
        IF($G16&lt;&gt;"", COUNTIF(ringfence!C$2:C$10000, "*"&amp;$G16&amp;"*"), 0)&gt;0
   ),
   "Yes", "No")
)</f>
        <v>#VALUE!</v>
      </c>
      <c r="Q16" t="e" vm="1">
        <f>IF(AND($F16="", $G16=""), "",
   IF(OR(
        IF($F16&lt;&gt;"", COUNTIF(ringfence!D$2:D$10000, "*"&amp;$F16&amp;"*"), 0)&gt;0,
        IF($G16&lt;&gt;"", COUNTIF(ringfence!D$2:D$10000, "*"&amp;$G16&amp;"*"), 0)&gt;0
   ),
   "Yes", "No")
)</f>
        <v>#VALUE!</v>
      </c>
      <c r="R16" t="e" vm="1">
        <f>IF(AND($F16="", $G16=""), "",
   IF(OR(
        IF($F16&lt;&gt;"", COUNTIF(ringfence!E$2:E$10000, "*"&amp;$F16&amp;"*"), 0)&gt;0,
        IF($G16&lt;&gt;"", COUNTIF(ringfence!E$2:E$10000, "*"&amp;$G16&amp;"*"), 0)&gt;0
   ),
   "Yes", "No")
)</f>
        <v>#VALUE!</v>
      </c>
      <c r="S16" t="str" cm="1">
        <f t="array" ref="S16">_xlfn.IFS(
    B16="1对1", "1x1",
    B16="1对2", "1x2",
    B16="小组会议", "小组会议",
    TRUE, B16
)</f>
        <v>1x1</v>
      </c>
      <c r="T16" s="32" t="e" vm="1">
        <f t="shared" si="0"/>
        <v>#VALUE!</v>
      </c>
    </row>
    <row r="17" spans="1:20" ht="68">
      <c r="A17" s="150" t="s">
        <v>242</v>
      </c>
      <c r="B17" s="88" t="s">
        <v>239</v>
      </c>
      <c r="C17" s="89" t="s">
        <v>240</v>
      </c>
      <c r="D17" s="89" t="s">
        <v>241</v>
      </c>
      <c r="E17" s="94" t="s">
        <v>280</v>
      </c>
      <c r="F17" s="87" t="e" cm="1" vm="2">
        <f t="array" ref="F17">IF(E17="","",
_xlfn._xlws.FILTER(
    IF(CompanyName1[]="","",CompanyName1[]),
    (ISNUMBER(SEARCH(E17,CompanyName1[机构名称（英文）]&amp;"")) +
     ISNUMBER(SEARCH(E17,CompanyName1[机构名称（中文）]&amp;"")))&gt;0
))</f>
        <v>#VALUE!</v>
      </c>
      <c r="G17" s="87"/>
      <c r="H17" s="90" t="e" vm="1">
        <f>IF(AND($F17="", $G17=""), "",
  _xlfn.IFNA(_xlfn.XLOOKUP($F17, database!$C:$C, database!$I:$I),
  _xlfn.IFNA(_xlfn.XLOOKUP($F17, database!$D:$D, database!$I:$I),
  _xlfn.IFNA(_xlfn.XLOOKUP($G17, database!$C:$C, database!$I:$I),
  _xlfn.IFNA(_xlfn.XLOOKUP($G17, database!$D:$D, database!$I:$I), "")))) &amp; ""
)</f>
        <v>#VALUE!</v>
      </c>
      <c r="I17" s="87" t="e" vm="1">
        <f>IF(AND($F17="", $G17=""), "",
  _xlfn.IFNA(_xlfn.XLOOKUP($F17, database!$C:$C, database!$J:$J),
  _xlfn.IFNA(_xlfn.XLOOKUP($F17, database!$D:$D, database!$J:$J),
  _xlfn.IFNA(_xlfn.XLOOKUP($G17, database!$C:$C, database!$J:$J),
  _xlfn.IFNA(_xlfn.XLOOKUP($G17, database!$D:$D, database!$J:$J), "")))) &amp; ""
)</f>
        <v>#VALUE!</v>
      </c>
      <c r="J17" s="87" t="e" vm="1">
        <f>IF(AND($F17="", $G17=""), "",
  _xlfn.IFNA(_xlfn.XLOOKUP($F17, database!$C:$C, database!$E:$E),
  _xlfn.IFNA(_xlfn.XLOOKUP($F17, database!$D:$D, database!$E:$E),
  _xlfn.IFNA(_xlfn.XLOOKUP($G17, database!$C:$C, database!$E:$E),
  _xlfn.IFNA(_xlfn.XLOOKUP($G17, database!$D:$D, database!$E:$E), ""))))
)</f>
        <v>#VALUE!</v>
      </c>
      <c r="K17" s="87" t="e" vm="1">
        <f>IF(AND($F17="", $G17=""), "",
  _xlfn.IFNA(_xlfn.XLOOKUP($F17, database!$C:$C, database!$K:$K),
  _xlfn.IFNA(_xlfn.XLOOKUP($F17, database!$D:$D, database!$K:$K),
  _xlfn.IFNA(_xlfn.XLOOKUP($G17, database!$C:$C, database!$K:$K),
  _xlfn.IFNA(_xlfn.XLOOKUP($G17, database!$D:$D, database!$K:$K), "")))) &amp; ""
)</f>
        <v>#VALUE!</v>
      </c>
      <c r="L17" s="165" t="e" vm="1">
        <f>IF(AND($F17="", $G17=""), "",
  _xlfn.IFNA(_xlfn.XLOOKUP($F17, database!$C:$C, database!$F:$F),
  _xlfn.IFNA(_xlfn.XLOOKUP($F17, database!$D:$D, database!$F:$F),
  _xlfn.IFNA(_xlfn.XLOOKUP($G17, database!$C:$C, database!$F:$F),
  _xlfn.IFNA(_xlfn.XLOOKUP($G17, database!$D:$D, database!$F:$F), "")))) &amp; ""
)</f>
        <v>#VALUE!</v>
      </c>
      <c r="M17" s="105" t="e" vm="1">
        <f>IF(AND($F17="", $G17=""), "",
  _xlfn.IFNA(_xlfn.XLOOKUP($F17, database!$C:$C, database!$G:$G),
  _xlfn.IFNA(_xlfn.XLOOKUP($F17, database!$D:$D, database!$G:$G),
  _xlfn.IFNA(_xlfn.XLOOKUP($G17, database!$C:$C, database!$G:$G),
  _xlfn.IFNA(_xlfn.XLOOKUP($G17, database!$D:$D, database!$G:$G), "")))) &amp; ""
)</f>
        <v>#VALUE!</v>
      </c>
      <c r="N17" t="e" vm="1">
        <f>IF(AND($F17="", $G17=""), "",
   IF(OR(
        IF($F17&lt;&gt;"", COUNTIF(ringfence!A$2:A$10000, "*"&amp;$F17&amp;"*"), 0)&gt;0,
        IF($G17&lt;&gt;"", COUNTIF(ringfence!A$2:A$10000, "*"&amp;$G17&amp;"*"), 0)&gt;0
   ),
   "Yes", "No")
)</f>
        <v>#VALUE!</v>
      </c>
      <c r="O17" t="e" vm="1">
        <f>IF(AND($F17="", $G17=""), "",
   IF(OR(
        IF($F17&lt;&gt;"", COUNTIF(ringfence!B$2:B$10000, "*"&amp;$F17&amp;"*"), 0)&gt;0,
        IF($G17&lt;&gt;"", COUNTIF(ringfence!B$2:B$10000, "*"&amp;$G17&amp;"*"), 0)&gt;0
   ),
   "Yes", "No")
)</f>
        <v>#VALUE!</v>
      </c>
      <c r="P17" t="e" vm="1">
        <f>IF(AND($F17="", $G17=""), "",
   IF(OR(
        IF($F17&lt;&gt;"", COUNTIF(ringfence!C$2:C$10000, "*"&amp;$F17&amp;"*"), 0)&gt;0,
        IF($G17&lt;&gt;"", COUNTIF(ringfence!C$2:C$10000, "*"&amp;$G17&amp;"*"), 0)&gt;0
   ),
   "Yes", "No")
)</f>
        <v>#VALUE!</v>
      </c>
      <c r="Q17" t="e" vm="1">
        <f>IF(AND($F17="", $G17=""), "",
   IF(OR(
        IF($F17&lt;&gt;"", COUNTIF(ringfence!D$2:D$10000, "*"&amp;$F17&amp;"*"), 0)&gt;0,
        IF($G17&lt;&gt;"", COUNTIF(ringfence!D$2:D$10000, "*"&amp;$G17&amp;"*"), 0)&gt;0
   ),
   "Yes", "No")
)</f>
        <v>#VALUE!</v>
      </c>
      <c r="R17" t="e" vm="1">
        <f>IF(AND($F17="", $G17=""), "",
   IF(OR(
        IF($F17&lt;&gt;"", COUNTIF(ringfence!E$2:E$10000, "*"&amp;$F17&amp;"*"), 0)&gt;0,
        IF($G17&lt;&gt;"", COUNTIF(ringfence!E$2:E$10000, "*"&amp;$G17&amp;"*"), 0)&gt;0
   ),
   "Yes", "No")
)</f>
        <v>#VALUE!</v>
      </c>
      <c r="S17" t="str" cm="1">
        <f t="array" ref="S17">_xlfn.IFS(
    B17="1对1", "1x1",
    B17="1对2", "1x2",
    B17="小组会议", "小组会议",
    TRUE, B17
)</f>
        <v>1x1</v>
      </c>
      <c r="T17" s="32" t="e" vm="1">
        <f t="shared" si="0"/>
        <v>#VALUE!</v>
      </c>
    </row>
    <row r="18" spans="1:20" ht="102">
      <c r="A18" s="150" t="s">
        <v>243</v>
      </c>
      <c r="B18" s="88" t="s">
        <v>239</v>
      </c>
      <c r="C18" s="89" t="s">
        <v>240</v>
      </c>
      <c r="D18" s="89" t="s">
        <v>241</v>
      </c>
      <c r="E18" s="94" t="s">
        <v>297</v>
      </c>
      <c r="F18" s="87" t="e" cm="1" vm="2">
        <f t="array" ref="F18">IF(E18="","",
_xlfn._xlws.FILTER(
    IF(CompanyName1[]="","",CompanyName1[]),
    (ISNUMBER(SEARCH(E18,CompanyName1[机构名称（英文）]&amp;"")) +
     ISNUMBER(SEARCH(E18,CompanyName1[机构名称（中文）]&amp;"")))&gt;0
))</f>
        <v>#VALUE!</v>
      </c>
      <c r="G18" s="87"/>
      <c r="H18" s="90" t="e" vm="1">
        <f>IF(AND($F18="", $G18=""), "",
  _xlfn.IFNA(_xlfn.XLOOKUP($F18, database!$C:$C, database!$I:$I),
  _xlfn.IFNA(_xlfn.XLOOKUP($F18, database!$D:$D, database!$I:$I),
  _xlfn.IFNA(_xlfn.XLOOKUP($G18, database!$C:$C, database!$I:$I),
  _xlfn.IFNA(_xlfn.XLOOKUP($G18, database!$D:$D, database!$I:$I), "")))) &amp; ""
)</f>
        <v>#VALUE!</v>
      </c>
      <c r="I18" s="87" t="e" vm="1">
        <f>IF(AND($F18="", $G18=""), "",
  _xlfn.IFNA(_xlfn.XLOOKUP($F18, database!$C:$C, database!$J:$J),
  _xlfn.IFNA(_xlfn.XLOOKUP($F18, database!$D:$D, database!$J:$J),
  _xlfn.IFNA(_xlfn.XLOOKUP($G18, database!$C:$C, database!$J:$J),
  _xlfn.IFNA(_xlfn.XLOOKUP($G18, database!$D:$D, database!$J:$J), "")))) &amp; ""
)</f>
        <v>#VALUE!</v>
      </c>
      <c r="J18" s="87" t="e" vm="1">
        <f>IF(AND($F18="", $G18=""), "",
  _xlfn.IFNA(_xlfn.XLOOKUP($F18, database!$C:$C, database!$E:$E),
  _xlfn.IFNA(_xlfn.XLOOKUP($F18, database!$D:$D, database!$E:$E),
  _xlfn.IFNA(_xlfn.XLOOKUP($G18, database!$C:$C, database!$E:$E),
  _xlfn.IFNA(_xlfn.XLOOKUP($G18, database!$D:$D, database!$E:$E), ""))))
)</f>
        <v>#VALUE!</v>
      </c>
      <c r="K18" s="87" t="e" vm="1">
        <f>IF(AND($F18="", $G18=""), "",
  _xlfn.IFNA(_xlfn.XLOOKUP($F18, database!$C:$C, database!$K:$K),
  _xlfn.IFNA(_xlfn.XLOOKUP($F18, database!$D:$D, database!$K:$K),
  _xlfn.IFNA(_xlfn.XLOOKUP($G18, database!$C:$C, database!$K:$K),
  _xlfn.IFNA(_xlfn.XLOOKUP($G18, database!$D:$D, database!$K:$K), "")))) &amp; ""
)</f>
        <v>#VALUE!</v>
      </c>
      <c r="L18" s="165" t="e" vm="1">
        <f>IF(AND($F18="", $G18=""), "",
  _xlfn.IFNA(_xlfn.XLOOKUP($F18, database!$C:$C, database!$F:$F),
  _xlfn.IFNA(_xlfn.XLOOKUP($F18, database!$D:$D, database!$F:$F),
  _xlfn.IFNA(_xlfn.XLOOKUP($G18, database!$C:$C, database!$F:$F),
  _xlfn.IFNA(_xlfn.XLOOKUP($G18, database!$D:$D, database!$F:$F), "")))) &amp; ""
)</f>
        <v>#VALUE!</v>
      </c>
      <c r="M18" s="105" t="e" vm="1">
        <f>IF(AND($F18="", $G18=""), "",
  _xlfn.IFNA(_xlfn.XLOOKUP($F18, database!$C:$C, database!$G:$G),
  _xlfn.IFNA(_xlfn.XLOOKUP($F18, database!$D:$D, database!$G:$G),
  _xlfn.IFNA(_xlfn.XLOOKUP($G18, database!$C:$C, database!$G:$G),
  _xlfn.IFNA(_xlfn.XLOOKUP($G18, database!$D:$D, database!$G:$G), "")))) &amp; ""
)</f>
        <v>#VALUE!</v>
      </c>
      <c r="N18" t="e" vm="1">
        <f>IF(AND($F18="", $G18=""), "",
   IF(OR(
        IF($F18&lt;&gt;"", COUNTIF(ringfence!A$2:A$10000, "*"&amp;$F18&amp;"*"), 0)&gt;0,
        IF($G18&lt;&gt;"", COUNTIF(ringfence!A$2:A$10000, "*"&amp;$G18&amp;"*"), 0)&gt;0
   ),
   "Yes", "No")
)</f>
        <v>#VALUE!</v>
      </c>
      <c r="O18" t="e" vm="1">
        <f>IF(AND($F18="", $G18=""), "",
   IF(OR(
        IF($F18&lt;&gt;"", COUNTIF(ringfence!B$2:B$10000, "*"&amp;$F18&amp;"*"), 0)&gt;0,
        IF($G18&lt;&gt;"", COUNTIF(ringfence!B$2:B$10000, "*"&amp;$G18&amp;"*"), 0)&gt;0
   ),
   "Yes", "No")
)</f>
        <v>#VALUE!</v>
      </c>
      <c r="P18" t="e" vm="1">
        <f>IF(AND($F18="", $G18=""), "",
   IF(OR(
        IF($F18&lt;&gt;"", COUNTIF(ringfence!C$2:C$10000, "*"&amp;$F18&amp;"*"), 0)&gt;0,
        IF($G18&lt;&gt;"", COUNTIF(ringfence!C$2:C$10000, "*"&amp;$G18&amp;"*"), 0)&gt;0
   ),
   "Yes", "No")
)</f>
        <v>#VALUE!</v>
      </c>
      <c r="Q18" t="e" vm="1">
        <f>IF(AND($F18="", $G18=""), "",
   IF(OR(
        IF($F18&lt;&gt;"", COUNTIF(ringfence!D$2:D$10000, "*"&amp;$F18&amp;"*"), 0)&gt;0,
        IF($G18&lt;&gt;"", COUNTIF(ringfence!D$2:D$10000, "*"&amp;$G18&amp;"*"), 0)&gt;0
   ),
   "Yes", "No")
)</f>
        <v>#VALUE!</v>
      </c>
      <c r="R18" t="e" vm="1">
        <f>IF(AND($F18="", $G18=""), "",
   IF(OR(
        IF($F18&lt;&gt;"", COUNTIF(ringfence!E$2:E$10000, "*"&amp;$F18&amp;"*"), 0)&gt;0,
        IF($G18&lt;&gt;"", COUNTIF(ringfence!E$2:E$10000, "*"&amp;$G18&amp;"*"), 0)&gt;0
   ),
   "Yes", "No")
)</f>
        <v>#VALUE!</v>
      </c>
      <c r="S18" t="str" cm="1">
        <f t="array" ref="S18">_xlfn.IFS(
    B18="1对1", "1x1",
    B18="1对2", "1x2",
    B18="小组会议", "小组会议",
    TRUE, B18
)</f>
        <v>1x1</v>
      </c>
      <c r="T18" s="32" t="e" vm="1">
        <f t="shared" si="0"/>
        <v>#VALUE!</v>
      </c>
    </row>
    <row r="19" spans="1:20" ht="85">
      <c r="A19" s="87" t="s">
        <v>244</v>
      </c>
      <c r="B19" s="88" t="s">
        <v>239</v>
      </c>
      <c r="C19" s="89" t="s">
        <v>240</v>
      </c>
      <c r="D19" s="89" t="s">
        <v>241</v>
      </c>
      <c r="E19" s="94" t="s">
        <v>586</v>
      </c>
      <c r="F19" s="87" t="e" cm="1" vm="2">
        <f t="array" ref="F19">IF(E19="","",
_xlfn._xlws.FILTER(
    IF(CompanyName1[]="","",CompanyName1[]),
    (ISNUMBER(SEARCH(E19,CompanyName1[机构名称（英文）]&amp;"")) +
     ISNUMBER(SEARCH(E19,CompanyName1[机构名称（中文）]&amp;"")))&gt;0
))</f>
        <v>#VALUE!</v>
      </c>
      <c r="G19" s="87"/>
      <c r="H19" s="90" t="e" vm="1">
        <f>IF(AND($F19="", $G19=""), "",
  _xlfn.IFNA(_xlfn.XLOOKUP($F19, database!$C:$C, database!$I:$I),
  _xlfn.IFNA(_xlfn.XLOOKUP($F19, database!$D:$D, database!$I:$I),
  _xlfn.IFNA(_xlfn.XLOOKUP($G19, database!$C:$C, database!$I:$I),
  _xlfn.IFNA(_xlfn.XLOOKUP($G19, database!$D:$D, database!$I:$I), "")))) &amp; ""
)</f>
        <v>#VALUE!</v>
      </c>
      <c r="I19" s="87" t="e" vm="1">
        <f>IF(AND($F19="", $G19=""), "",
  _xlfn.IFNA(_xlfn.XLOOKUP($F19, database!$C:$C, database!$J:$J),
  _xlfn.IFNA(_xlfn.XLOOKUP($F19, database!$D:$D, database!$J:$J),
  _xlfn.IFNA(_xlfn.XLOOKUP($G19, database!$C:$C, database!$J:$J),
  _xlfn.IFNA(_xlfn.XLOOKUP($G19, database!$D:$D, database!$J:$J), "")))) &amp; ""
)</f>
        <v>#VALUE!</v>
      </c>
      <c r="J19" s="87" t="e" vm="1">
        <f>IF(AND($F19="", $G19=""), "",
  _xlfn.IFNA(_xlfn.XLOOKUP($F19, database!$C:$C, database!$E:$E),
  _xlfn.IFNA(_xlfn.XLOOKUP($F19, database!$D:$D, database!$E:$E),
  _xlfn.IFNA(_xlfn.XLOOKUP($G19, database!$C:$C, database!$E:$E),
  _xlfn.IFNA(_xlfn.XLOOKUP($G19, database!$D:$D, database!$E:$E), ""))))
)</f>
        <v>#VALUE!</v>
      </c>
      <c r="K19" s="87" t="e" vm="1">
        <f>IF(AND($F19="", $G19=""), "",
  _xlfn.IFNA(_xlfn.XLOOKUP($F19, database!$C:$C, database!$K:$K),
  _xlfn.IFNA(_xlfn.XLOOKUP($F19, database!$D:$D, database!$K:$K),
  _xlfn.IFNA(_xlfn.XLOOKUP($G19, database!$C:$C, database!$K:$K),
  _xlfn.IFNA(_xlfn.XLOOKUP($G19, database!$D:$D, database!$K:$K), "")))) &amp; ""
)</f>
        <v>#VALUE!</v>
      </c>
      <c r="L19" s="165" t="e" vm="1">
        <f>IF(AND($F19="", $G19=""), "",
  _xlfn.IFNA(_xlfn.XLOOKUP($F19, database!$C:$C, database!$F:$F),
  _xlfn.IFNA(_xlfn.XLOOKUP($F19, database!$D:$D, database!$F:$F),
  _xlfn.IFNA(_xlfn.XLOOKUP($G19, database!$C:$C, database!$F:$F),
  _xlfn.IFNA(_xlfn.XLOOKUP($G19, database!$D:$D, database!$F:$F), "")))) &amp; ""
)</f>
        <v>#VALUE!</v>
      </c>
      <c r="M19" s="105" t="e" vm="1">
        <f>IF(AND($F19="", $G19=""), "",
  _xlfn.IFNA(_xlfn.XLOOKUP($F19, database!$C:$C, database!$G:$G),
  _xlfn.IFNA(_xlfn.XLOOKUP($F19, database!$D:$D, database!$G:$G),
  _xlfn.IFNA(_xlfn.XLOOKUP($G19, database!$C:$C, database!$G:$G),
  _xlfn.IFNA(_xlfn.XLOOKUP($G19, database!$D:$D, database!$G:$G), "")))) &amp; ""
)</f>
        <v>#VALUE!</v>
      </c>
      <c r="N19" t="e" vm="1">
        <f>IF(AND($F19="", $G19=""), "",
   IF(OR(
        IF($F19&lt;&gt;"", COUNTIF(ringfence!A$2:A$10000, "*"&amp;$F19&amp;"*"), 0)&gt;0,
        IF($G19&lt;&gt;"", COUNTIF(ringfence!A$2:A$10000, "*"&amp;$G19&amp;"*"), 0)&gt;0
   ),
   "Yes", "No")
)</f>
        <v>#VALUE!</v>
      </c>
      <c r="O19" t="e" vm="1">
        <f>IF(AND($F19="", $G19=""), "",
   IF(OR(
        IF($F19&lt;&gt;"", COUNTIF(ringfence!B$2:B$10000, "*"&amp;$F19&amp;"*"), 0)&gt;0,
        IF($G19&lt;&gt;"", COUNTIF(ringfence!B$2:B$10000, "*"&amp;$G19&amp;"*"), 0)&gt;0
   ),
   "Yes", "No")
)</f>
        <v>#VALUE!</v>
      </c>
      <c r="P19" t="e" vm="1">
        <f>IF(AND($F19="", $G19=""), "",
   IF(OR(
        IF($F19&lt;&gt;"", COUNTIF(ringfence!C$2:C$10000, "*"&amp;$F19&amp;"*"), 0)&gt;0,
        IF($G19&lt;&gt;"", COUNTIF(ringfence!C$2:C$10000, "*"&amp;$G19&amp;"*"), 0)&gt;0
   ),
   "Yes", "No")
)</f>
        <v>#VALUE!</v>
      </c>
      <c r="Q19" t="e" vm="1">
        <f>IF(AND($F19="", $G19=""), "",
   IF(OR(
        IF($F19&lt;&gt;"", COUNTIF(ringfence!D$2:D$10000, "*"&amp;$F19&amp;"*"), 0)&gt;0,
        IF($G19&lt;&gt;"", COUNTIF(ringfence!D$2:D$10000, "*"&amp;$G19&amp;"*"), 0)&gt;0
   ),
   "Yes", "No")
)</f>
        <v>#VALUE!</v>
      </c>
      <c r="R19" t="e" vm="1">
        <f>IF(AND($F19="", $G19=""), "",
   IF(OR(
        IF($F19&lt;&gt;"", COUNTIF(ringfence!E$2:E$10000, "*"&amp;$F19&amp;"*"), 0)&gt;0,
        IF($G19&lt;&gt;"", COUNTIF(ringfence!E$2:E$10000, "*"&amp;$G19&amp;"*"), 0)&gt;0
   ),
   "Yes", "No")
)</f>
        <v>#VALUE!</v>
      </c>
      <c r="S19" t="str" cm="1">
        <f t="array" ref="S19">_xlfn.IFS(
    B19="1对1", "1x1",
    B19="1对2", "1x2",
    B19="小组会议", "小组会议",
    TRUE, B19
)</f>
        <v>1x1</v>
      </c>
      <c r="T19" s="32" t="e" vm="1">
        <f t="shared" si="0"/>
        <v>#VALUE!</v>
      </c>
    </row>
    <row r="20" spans="1:20" ht="85">
      <c r="A20" s="87"/>
      <c r="B20" s="88"/>
      <c r="C20" s="89"/>
      <c r="D20" s="89"/>
      <c r="E20" s="94" t="s">
        <v>429</v>
      </c>
      <c r="F20" s="87" t="e" cm="1" vm="2">
        <f t="array" ref="F20">IF(E20="","",
_xlfn._xlws.FILTER(
    IF(CompanyName1[]="","",CompanyName1[]),
    (ISNUMBER(SEARCH(E20,CompanyName1[机构名称（英文）]&amp;"")) +
     ISNUMBER(SEARCH(E20,CompanyName1[机构名称（中文）]&amp;"")))&gt;0
))</f>
        <v>#VALUE!</v>
      </c>
      <c r="G20" s="87"/>
      <c r="H20" s="90" t="e" vm="1">
        <f>IF(AND($F20="", $G20=""), "",
  _xlfn.IFNA(_xlfn.XLOOKUP($F20, database!$C:$C, database!$I:$I),
  _xlfn.IFNA(_xlfn.XLOOKUP($F20, database!$D:$D, database!$I:$I),
  _xlfn.IFNA(_xlfn.XLOOKUP($G20, database!$C:$C, database!$I:$I),
  _xlfn.IFNA(_xlfn.XLOOKUP($G20, database!$D:$D, database!$I:$I), "")))) &amp; ""
)</f>
        <v>#VALUE!</v>
      </c>
      <c r="I20" s="87" t="e" vm="1">
        <f>IF(AND($F20="", $G20=""), "",
  _xlfn.IFNA(_xlfn.XLOOKUP($F20, database!$C:$C, database!$J:$J),
  _xlfn.IFNA(_xlfn.XLOOKUP($F20, database!$D:$D, database!$J:$J),
  _xlfn.IFNA(_xlfn.XLOOKUP($G20, database!$C:$C, database!$J:$J),
  _xlfn.IFNA(_xlfn.XLOOKUP($G20, database!$D:$D, database!$J:$J), "")))) &amp; ""
)</f>
        <v>#VALUE!</v>
      </c>
      <c r="J20" s="87" t="e" vm="1">
        <f>IF(AND($F20="", $G20=""), "",
  _xlfn.IFNA(_xlfn.XLOOKUP($F20, database!$C:$C, database!$E:$E),
  _xlfn.IFNA(_xlfn.XLOOKUP($F20, database!$D:$D, database!$E:$E),
  _xlfn.IFNA(_xlfn.XLOOKUP($G20, database!$C:$C, database!$E:$E),
  _xlfn.IFNA(_xlfn.XLOOKUP($G20, database!$D:$D, database!$E:$E), ""))))
)</f>
        <v>#VALUE!</v>
      </c>
      <c r="K20" s="87" t="e" vm="1">
        <f>IF(AND($F20="", $G20=""), "",
  _xlfn.IFNA(_xlfn.XLOOKUP($F20, database!$C:$C, database!$K:$K),
  _xlfn.IFNA(_xlfn.XLOOKUP($F20, database!$D:$D, database!$K:$K),
  _xlfn.IFNA(_xlfn.XLOOKUP($G20, database!$C:$C, database!$K:$K),
  _xlfn.IFNA(_xlfn.XLOOKUP($G20, database!$D:$D, database!$K:$K), "")))) &amp; ""
)</f>
        <v>#VALUE!</v>
      </c>
      <c r="L20" s="165" t="e" vm="1">
        <f>IF(AND($F20="", $G20=""), "",
  _xlfn.IFNA(_xlfn.XLOOKUP($F20, database!$C:$C, database!$F:$F),
  _xlfn.IFNA(_xlfn.XLOOKUP($F20, database!$D:$D, database!$F:$F),
  _xlfn.IFNA(_xlfn.XLOOKUP($G20, database!$C:$C, database!$F:$F),
  _xlfn.IFNA(_xlfn.XLOOKUP($G20, database!$D:$D, database!$F:$F), "")))) &amp; ""
)</f>
        <v>#VALUE!</v>
      </c>
      <c r="M20" s="105" t="e" vm="1">
        <f>IF(AND($F20="", $G20=""), "",
  _xlfn.IFNA(_xlfn.XLOOKUP($F20, database!$C:$C, database!$G:$G),
  _xlfn.IFNA(_xlfn.XLOOKUP($F20, database!$D:$D, database!$G:$G),
  _xlfn.IFNA(_xlfn.XLOOKUP($G20, database!$C:$C, database!$G:$G),
  _xlfn.IFNA(_xlfn.XLOOKUP($G20, database!$D:$D, database!$G:$G), "")))) &amp; ""
)</f>
        <v>#VALUE!</v>
      </c>
      <c r="N20" t="e" vm="1">
        <f>IF(AND($F20="", $G20=""), "",
   IF(OR(
        IF($F20&lt;&gt;"", COUNTIF(ringfence!A$2:A$10000, "*"&amp;$F20&amp;"*"), 0)&gt;0,
        IF($G20&lt;&gt;"", COUNTIF(ringfence!A$2:A$10000, "*"&amp;$G20&amp;"*"), 0)&gt;0
   ),
   "Yes", "No")
)</f>
        <v>#VALUE!</v>
      </c>
      <c r="O20" t="e" vm="1">
        <f>IF(AND($F20="", $G20=""), "",
   IF(OR(
        IF($F20&lt;&gt;"", COUNTIF(ringfence!B$2:B$10000, "*"&amp;$F20&amp;"*"), 0)&gt;0,
        IF($G20&lt;&gt;"", COUNTIF(ringfence!B$2:B$10000, "*"&amp;$G20&amp;"*"), 0)&gt;0
   ),
   "Yes", "No")
)</f>
        <v>#VALUE!</v>
      </c>
      <c r="P20" t="e" vm="1">
        <f>IF(AND($F20="", $G20=""), "",
   IF(OR(
        IF($F20&lt;&gt;"", COUNTIF(ringfence!C$2:C$10000, "*"&amp;$F20&amp;"*"), 0)&gt;0,
        IF($G20&lt;&gt;"", COUNTIF(ringfence!C$2:C$10000, "*"&amp;$G20&amp;"*"), 0)&gt;0
   ),
   "Yes", "No")
)</f>
        <v>#VALUE!</v>
      </c>
      <c r="Q20" t="e" vm="1">
        <f>IF(AND($F20="", $G20=""), "",
   IF(OR(
        IF($F20&lt;&gt;"", COUNTIF(ringfence!D$2:D$10000, "*"&amp;$F20&amp;"*"), 0)&gt;0,
        IF($G20&lt;&gt;"", COUNTIF(ringfence!D$2:D$10000, "*"&amp;$G20&amp;"*"), 0)&gt;0
   ),
   "Yes", "No")
)</f>
        <v>#VALUE!</v>
      </c>
      <c r="R20" t="e" vm="1">
        <f>IF(AND($F20="", $G20=""), "",
   IF(OR(
        IF($F20&lt;&gt;"", COUNTIF(ringfence!E$2:E$10000, "*"&amp;$F20&amp;"*"), 0)&gt;0,
        IF($G20&lt;&gt;"", COUNTIF(ringfence!E$2:E$10000, "*"&amp;$G20&amp;"*"), 0)&gt;0
   ),
   "Yes", "No")
)</f>
        <v>#VALUE!</v>
      </c>
      <c r="S20" cm="1">
        <f t="array" ref="S20">_xlfn.IFS(
    B20="1对1", "1x1",
    B20="1对2", "1x2",
    B20="小组会议", "小组会议",
    TRUE, B20
)</f>
        <v>0</v>
      </c>
      <c r="T20" s="32" t="e" vm="1">
        <f t="shared" si="0"/>
        <v>#VALUE!</v>
      </c>
    </row>
    <row r="22" spans="1:20">
      <c r="A22" s="73" t="s">
        <v>245</v>
      </c>
    </row>
    <row r="23" spans="1:20">
      <c r="A23" s="93" t="s">
        <v>36</v>
      </c>
      <c r="B23" s="92">
        <v>46161</v>
      </c>
    </row>
    <row r="24" spans="1:20">
      <c r="A24" s="94" t="s">
        <v>37</v>
      </c>
      <c r="B24" s="86" t="s">
        <v>545</v>
      </c>
    </row>
    <row r="25" spans="1:20">
      <c r="A25" s="85" t="s">
        <v>230</v>
      </c>
      <c r="B25" s="85" t="s">
        <v>357</v>
      </c>
      <c r="C25" s="85" t="s">
        <v>358</v>
      </c>
      <c r="D25" s="85" t="s">
        <v>359</v>
      </c>
      <c r="E25" s="100" t="s">
        <v>366</v>
      </c>
      <c r="F25" s="85" t="s">
        <v>355</v>
      </c>
      <c r="G25" s="85" t="s">
        <v>356</v>
      </c>
      <c r="H25" s="85" t="s">
        <v>234</v>
      </c>
      <c r="I25" s="85" t="s">
        <v>235</v>
      </c>
      <c r="J25" s="85" t="s">
        <v>236</v>
      </c>
      <c r="K25" s="85" t="s">
        <v>237</v>
      </c>
      <c r="L25" s="85" t="s">
        <v>238</v>
      </c>
      <c r="M25" s="85" t="s">
        <v>367</v>
      </c>
      <c r="N25" s="85" t="str">
        <f>"In " &amp;ringfence!A$1&amp; " ringfence?"</f>
        <v>In CMS ringfence?</v>
      </c>
      <c r="O25" s="85" t="str">
        <f>"In " &amp;ringfence!B$1&amp; " ringfence?"</f>
        <v>In 银河 ringfence?</v>
      </c>
      <c r="P25" s="85" t="str">
        <f>"In " &amp;ringfence!C$1&amp; " ringfence?"</f>
        <v>In Bank3 ringfence?</v>
      </c>
      <c r="Q25" s="85" t="str">
        <f>"In " &amp;ringfence!D$1&amp; " ringfence?"</f>
        <v>In Bank4 ringfence?</v>
      </c>
      <c r="R25" s="85" t="str">
        <f>"In " &amp;ringfence!E$1&amp; " ringfence?"</f>
        <v>In Bank5 ringfence?</v>
      </c>
      <c r="S25" s="87" t="s">
        <v>493</v>
      </c>
      <c r="T25" s="87" t="s">
        <v>493</v>
      </c>
    </row>
    <row r="26" spans="1:20" ht="102">
      <c r="A26" s="87" t="s">
        <v>505</v>
      </c>
      <c r="B26" s="88" t="s">
        <v>239</v>
      </c>
      <c r="C26" s="89" t="s">
        <v>240</v>
      </c>
      <c r="D26" s="89" t="s">
        <v>241</v>
      </c>
      <c r="E26" s="94" t="s">
        <v>587</v>
      </c>
      <c r="F26" s="87" t="e" cm="1" vm="2">
        <f t="array" ref="F26">IF(E26="","",
_xlfn._xlws.FILTER(
    IF(CompanyName1[]="","",CompanyName1[]),
    (ISNUMBER(SEARCH(E26,CompanyName1[机构名称（英文）]&amp;"")) +
     ISNUMBER(SEARCH(E26,CompanyName1[机构名称（中文）]&amp;"")))&gt;0
))</f>
        <v>#VALUE!</v>
      </c>
      <c r="G26" s="87"/>
      <c r="H26" s="90" t="e" vm="1">
        <f>IF(AND($F26="", $G26=""), "",
  _xlfn.IFNA(_xlfn.XLOOKUP($F26, database!$C:$C, database!$I:$I),
  _xlfn.IFNA(_xlfn.XLOOKUP($F26, database!$D:$D, database!$I:$I),
  _xlfn.IFNA(_xlfn.XLOOKUP($G26, database!$C:$C, database!$I:$I),
  _xlfn.IFNA(_xlfn.XLOOKUP($G26, database!$D:$D, database!$I:$I), "")))) &amp; ""
)</f>
        <v>#VALUE!</v>
      </c>
      <c r="I26" s="87" t="e" vm="1">
        <f>IF(AND($F26="", $G26=""), "",
  _xlfn.IFNA(_xlfn.XLOOKUP($F26, database!$C:$C, database!$J:$J),
  _xlfn.IFNA(_xlfn.XLOOKUP($F26, database!$D:$D, database!$J:$J),
  _xlfn.IFNA(_xlfn.XLOOKUP($G26, database!$C:$C, database!$J:$J),
  _xlfn.IFNA(_xlfn.XLOOKUP($G26, database!$D:$D, database!$J:$J), "")))) &amp; ""
)</f>
        <v>#VALUE!</v>
      </c>
      <c r="J26" s="87" t="e" vm="1">
        <f>IF(AND($F26="", $G26=""), "",
  _xlfn.IFNA(_xlfn.XLOOKUP($F26, database!$C:$C, database!$E:$E),
  _xlfn.IFNA(_xlfn.XLOOKUP($F26, database!$D:$D, database!$E:$E),
  _xlfn.IFNA(_xlfn.XLOOKUP($G26, database!$C:$C, database!$E:$E),
  _xlfn.IFNA(_xlfn.XLOOKUP($G26, database!$D:$D, database!$E:$E), ""))))
)</f>
        <v>#VALUE!</v>
      </c>
      <c r="K26" s="87" t="e" vm="1">
        <f>IF(AND($F26="", $G26=""), "",
  _xlfn.IFNA(_xlfn.XLOOKUP($F26, database!$C:$C, database!$K:$K),
  _xlfn.IFNA(_xlfn.XLOOKUP($F26, database!$D:$D, database!$K:$K),
  _xlfn.IFNA(_xlfn.XLOOKUP($G26, database!$C:$C, database!$K:$K),
  _xlfn.IFNA(_xlfn.XLOOKUP($G26, database!$D:$D, database!$K:$K), "")))) &amp; ""
)</f>
        <v>#VALUE!</v>
      </c>
      <c r="L26" s="165" t="e" vm="1">
        <f>IF(AND($F26="", $G26=""), "",
  _xlfn.IFNA(_xlfn.XLOOKUP($F26, database!$C:$C, database!$F:$F),
  _xlfn.IFNA(_xlfn.XLOOKUP($F26, database!$D:$D, database!$F:$F),
  _xlfn.IFNA(_xlfn.XLOOKUP($G26, database!$C:$C, database!$F:$F),
  _xlfn.IFNA(_xlfn.XLOOKUP($G26, database!$D:$D, database!$F:$F), "")))) &amp; ""
)</f>
        <v>#VALUE!</v>
      </c>
      <c r="M26" s="105" t="e" vm="1">
        <f>IF(AND($F26="", $G26=""), "",
  _xlfn.IFNA(_xlfn.XLOOKUP($F26, database!$C:$C, database!$G:$G),
  _xlfn.IFNA(_xlfn.XLOOKUP($F26, database!$D:$D, database!$G:$G),
  _xlfn.IFNA(_xlfn.XLOOKUP($G26, database!$C:$C, database!$G:$G),
  _xlfn.IFNA(_xlfn.XLOOKUP($G26, database!$D:$D, database!$G:$G), "")))) &amp; ""
)</f>
        <v>#VALUE!</v>
      </c>
      <c r="N26" t="e" vm="1">
        <f>IF(AND($F26="", $G26=""), "",
   IF(OR(
        IF($F26&lt;&gt;"", COUNTIF(ringfence!A$2:A$10000, "*"&amp;$F26&amp;"*"), 0)&gt;0,
        IF($G26&lt;&gt;"", COUNTIF(ringfence!A$2:A$10000, "*"&amp;$G26&amp;"*"), 0)&gt;0
   ),
   "Yes", "No")
)</f>
        <v>#VALUE!</v>
      </c>
      <c r="O26" t="e" vm="1">
        <f>IF(AND($F26="", $G26=""), "",
   IF(OR(
        IF($F26&lt;&gt;"", COUNTIF(ringfence!B$2:B$10000, "*"&amp;$F26&amp;"*"), 0)&gt;0,
        IF($G26&lt;&gt;"", COUNTIF(ringfence!B$2:B$10000, "*"&amp;$G26&amp;"*"), 0)&gt;0
   ),
   "Yes", "No")
)</f>
        <v>#VALUE!</v>
      </c>
      <c r="P26" t="e" vm="1">
        <f>IF(AND($F26="", $G26=""), "",
   IF(OR(
        IF($F26&lt;&gt;"", COUNTIF(ringfence!C$2:C$10000, "*"&amp;$F26&amp;"*"), 0)&gt;0,
        IF($G26&lt;&gt;"", COUNTIF(ringfence!C$2:C$10000, "*"&amp;$G26&amp;"*"), 0)&gt;0
   ),
   "Yes", "No")
)</f>
        <v>#VALUE!</v>
      </c>
      <c r="Q26" t="e" vm="1">
        <f>IF(AND($F26="", $G26=""), "",
   IF(OR(
        IF($F26&lt;&gt;"", COUNTIF(ringfence!D$2:D$10000, "*"&amp;$F26&amp;"*"), 0)&gt;0,
        IF($G26&lt;&gt;"", COUNTIF(ringfence!D$2:D$10000, "*"&amp;$G26&amp;"*"), 0)&gt;0
   ),
   "Yes", "No")
)</f>
        <v>#VALUE!</v>
      </c>
      <c r="R26" t="e" vm="1">
        <f>IF(AND($F26="", $G26=""), "",
   IF(OR(
        IF($F26&lt;&gt;"", COUNTIF(ringfence!E$2:E$10000, "*"&amp;$F26&amp;"*"), 0)&gt;0,
        IF($G26&lt;&gt;"", COUNTIF(ringfence!E$2:E$10000, "*"&amp;$G26&amp;"*"), 0)&gt;0
   ),
   "Yes", "No")
)</f>
        <v>#VALUE!</v>
      </c>
      <c r="S26" t="str" cm="1">
        <f t="array" ref="S26">_xlfn.IFS(
    B26="1对1", "1x1",
    B26="1对2", "1x2",
    B26="小组会议", "小组会议",
    TRUE, B26
)</f>
        <v>1x1</v>
      </c>
      <c r="T26" s="32" t="e" vm="1">
        <f t="shared" ref="T26:T31" si="1">G26 &amp; CHAR(10) &amp; F26</f>
        <v>#VALUE!</v>
      </c>
    </row>
    <row r="27" spans="1:20" ht="30.75" customHeight="1">
      <c r="A27" s="87" t="s">
        <v>506</v>
      </c>
      <c r="B27" s="88" t="s">
        <v>239</v>
      </c>
      <c r="C27" s="89" t="s">
        <v>240</v>
      </c>
      <c r="D27" s="89" t="s">
        <v>241</v>
      </c>
      <c r="E27" s="94" t="s">
        <v>588</v>
      </c>
      <c r="F27" s="87" t="e" cm="1" vm="2">
        <f t="array" ref="F27">IF(E27="","",
_xlfn._xlws.FILTER(
    IF(CompanyName1[]="","",CompanyName1[]),
    (ISNUMBER(SEARCH(E27,CompanyName1[机构名称（英文）]&amp;"")) +
     ISNUMBER(SEARCH(E27,CompanyName1[机构名称（中文）]&amp;"")))&gt;0
))</f>
        <v>#VALUE!</v>
      </c>
      <c r="G27" s="87"/>
      <c r="H27" s="90" t="e" vm="1">
        <f>IF(AND($F27="", $G27=""), "",
  _xlfn.IFNA(_xlfn.XLOOKUP($F27, database!$C:$C, database!$I:$I),
  _xlfn.IFNA(_xlfn.XLOOKUP($F27, database!$D:$D, database!$I:$I),
  _xlfn.IFNA(_xlfn.XLOOKUP($G27, database!$C:$C, database!$I:$I),
  _xlfn.IFNA(_xlfn.XLOOKUP($G27, database!$D:$D, database!$I:$I), "")))) &amp; ""
)</f>
        <v>#VALUE!</v>
      </c>
      <c r="I27" s="87" t="e" vm="1">
        <f>IF(AND($F27="", $G27=""), "",
  _xlfn.IFNA(_xlfn.XLOOKUP($F27, database!$C:$C, database!$J:$J),
  _xlfn.IFNA(_xlfn.XLOOKUP($F27, database!$D:$D, database!$J:$J),
  _xlfn.IFNA(_xlfn.XLOOKUP($G27, database!$C:$C, database!$J:$J),
  _xlfn.IFNA(_xlfn.XLOOKUP($G27, database!$D:$D, database!$J:$J), "")))) &amp; ""
)</f>
        <v>#VALUE!</v>
      </c>
      <c r="J27" s="87" t="e" vm="1">
        <f>IF(AND($F27="", $G27=""), "",
  _xlfn.IFNA(_xlfn.XLOOKUP($F27, database!$C:$C, database!$E:$E),
  _xlfn.IFNA(_xlfn.XLOOKUP($F27, database!$D:$D, database!$E:$E),
  _xlfn.IFNA(_xlfn.XLOOKUP($G27, database!$C:$C, database!$E:$E),
  _xlfn.IFNA(_xlfn.XLOOKUP($G27, database!$D:$D, database!$E:$E), ""))))
)</f>
        <v>#VALUE!</v>
      </c>
      <c r="K27" s="87" t="e" vm="1">
        <f>IF(AND($F27="", $G27=""), "",
  _xlfn.IFNA(_xlfn.XLOOKUP($F27, database!$C:$C, database!$K:$K),
  _xlfn.IFNA(_xlfn.XLOOKUP($F27, database!$D:$D, database!$K:$K),
  _xlfn.IFNA(_xlfn.XLOOKUP($G27, database!$C:$C, database!$K:$K),
  _xlfn.IFNA(_xlfn.XLOOKUP($G27, database!$D:$D, database!$K:$K), "")))) &amp; ""
)</f>
        <v>#VALUE!</v>
      </c>
      <c r="L27" s="165" t="e" vm="1">
        <f>IF(AND($F27="", $G27=""), "",
  _xlfn.IFNA(_xlfn.XLOOKUP($F27, database!$C:$C, database!$F:$F),
  _xlfn.IFNA(_xlfn.XLOOKUP($F27, database!$D:$D, database!$F:$F),
  _xlfn.IFNA(_xlfn.XLOOKUP($G27, database!$C:$C, database!$F:$F),
  _xlfn.IFNA(_xlfn.XLOOKUP($G27, database!$D:$D, database!$F:$F), "")))) &amp; ""
)</f>
        <v>#VALUE!</v>
      </c>
      <c r="M27" s="105" t="e" vm="1">
        <f>IF(AND($F27="", $G27=""), "",
  _xlfn.IFNA(_xlfn.XLOOKUP($F27, database!$C:$C, database!$G:$G),
  _xlfn.IFNA(_xlfn.XLOOKUP($F27, database!$D:$D, database!$G:$G),
  _xlfn.IFNA(_xlfn.XLOOKUP($G27, database!$C:$C, database!$G:$G),
  _xlfn.IFNA(_xlfn.XLOOKUP($G27, database!$D:$D, database!$G:$G), "")))) &amp; ""
)</f>
        <v>#VALUE!</v>
      </c>
      <c r="N27" t="e" vm="1">
        <f>IF(AND($F27="", $G27=""), "",
   IF(OR(
        IF($F27&lt;&gt;"", COUNTIF(ringfence!A$2:A$10000, "*"&amp;$F27&amp;"*"), 0)&gt;0,
        IF($G27&lt;&gt;"", COUNTIF(ringfence!A$2:A$10000, "*"&amp;$G27&amp;"*"), 0)&gt;0
   ),
   "Yes", "No")
)</f>
        <v>#VALUE!</v>
      </c>
      <c r="O27" t="e" vm="1">
        <f>IF(AND($F27="", $G27=""), "",
   IF(OR(
        IF($F27&lt;&gt;"", COUNTIF(ringfence!B$2:B$10000, "*"&amp;$F27&amp;"*"), 0)&gt;0,
        IF($G27&lt;&gt;"", COUNTIF(ringfence!B$2:B$10000, "*"&amp;$G27&amp;"*"), 0)&gt;0
   ),
   "Yes", "No")
)</f>
        <v>#VALUE!</v>
      </c>
      <c r="P27" t="e" vm="1">
        <f>IF(AND($F27="", $G27=""), "",
   IF(OR(
        IF($F27&lt;&gt;"", COUNTIF(ringfence!C$2:C$10000, "*"&amp;$F27&amp;"*"), 0)&gt;0,
        IF($G27&lt;&gt;"", COUNTIF(ringfence!C$2:C$10000, "*"&amp;$G27&amp;"*"), 0)&gt;0
   ),
   "Yes", "No")
)</f>
        <v>#VALUE!</v>
      </c>
      <c r="Q27" t="e" vm="1">
        <f>IF(AND($F27="", $G27=""), "",
   IF(OR(
        IF($F27&lt;&gt;"", COUNTIF(ringfence!D$2:D$10000, "*"&amp;$F27&amp;"*"), 0)&gt;0,
        IF($G27&lt;&gt;"", COUNTIF(ringfence!D$2:D$10000, "*"&amp;$G27&amp;"*"), 0)&gt;0
   ),
   "Yes", "No")
)</f>
        <v>#VALUE!</v>
      </c>
      <c r="R27" t="e" vm="1">
        <f>IF(AND($F27="", $G27=""), "",
   IF(OR(
        IF($F27&lt;&gt;"", COUNTIF(ringfence!E$2:E$10000, "*"&amp;$F27&amp;"*"), 0)&gt;0,
        IF($G27&lt;&gt;"", COUNTIF(ringfence!E$2:E$10000, "*"&amp;$G27&amp;"*"), 0)&gt;0
   ),
   "Yes", "No")
)</f>
        <v>#VALUE!</v>
      </c>
      <c r="S27" t="str" cm="1">
        <f t="array" ref="S27">_xlfn.IFS(
    B27="1对1", "1x1",
    B27="1对2", "1x2",
    B27="小组会议", "小组会议",
    TRUE, B27
)</f>
        <v>1x1</v>
      </c>
      <c r="T27" s="32" t="e" vm="1">
        <f t="shared" si="1"/>
        <v>#VALUE!</v>
      </c>
    </row>
    <row r="28" spans="1:20" ht="102">
      <c r="A28" s="87" t="s">
        <v>572</v>
      </c>
      <c r="B28" s="88" t="s">
        <v>239</v>
      </c>
      <c r="C28" s="89" t="s">
        <v>240</v>
      </c>
      <c r="D28" s="89" t="s">
        <v>241</v>
      </c>
      <c r="E28" s="94" t="s">
        <v>589</v>
      </c>
      <c r="F28" s="87" t="e" cm="1" vm="2">
        <f t="array" ref="F28">IF(E28="","",
_xlfn._xlws.FILTER(
    IF(CompanyName1[]="","",CompanyName1[]),
    (ISNUMBER(SEARCH(E28,CompanyName1[机构名称（英文）]&amp;"")) +
     ISNUMBER(SEARCH(E28,CompanyName1[机构名称（中文）]&amp;"")))&gt;0
))</f>
        <v>#VALUE!</v>
      </c>
      <c r="G28" s="87"/>
      <c r="H28" s="90" t="e" vm="1">
        <f>IF(AND($F28="", $G28=""), "",
  _xlfn.IFNA(_xlfn.XLOOKUP($F28, database!$C:$C, database!$I:$I),
  _xlfn.IFNA(_xlfn.XLOOKUP($F28, database!$D:$D, database!$I:$I),
  _xlfn.IFNA(_xlfn.XLOOKUP($G28, database!$C:$C, database!$I:$I),
  _xlfn.IFNA(_xlfn.XLOOKUP($G28, database!$D:$D, database!$I:$I), "")))) &amp; ""
)</f>
        <v>#VALUE!</v>
      </c>
      <c r="I28" s="87" t="e" vm="1">
        <f>IF(AND($F28="", $G28=""), "",
  _xlfn.IFNA(_xlfn.XLOOKUP($F28, database!$C:$C, database!$J:$J),
  _xlfn.IFNA(_xlfn.XLOOKUP($F28, database!$D:$D, database!$J:$J),
  _xlfn.IFNA(_xlfn.XLOOKUP($G28, database!$C:$C, database!$J:$J),
  _xlfn.IFNA(_xlfn.XLOOKUP($G28, database!$D:$D, database!$J:$J), "")))) &amp; ""
)</f>
        <v>#VALUE!</v>
      </c>
      <c r="J28" s="87" t="e" vm="1">
        <f>IF(AND($F28="", $G28=""), "",
  _xlfn.IFNA(_xlfn.XLOOKUP($F28, database!$C:$C, database!$E:$E),
  _xlfn.IFNA(_xlfn.XLOOKUP($F28, database!$D:$D, database!$E:$E),
  _xlfn.IFNA(_xlfn.XLOOKUP($G28, database!$C:$C, database!$E:$E),
  _xlfn.IFNA(_xlfn.XLOOKUP($G28, database!$D:$D, database!$E:$E), ""))))
)</f>
        <v>#VALUE!</v>
      </c>
      <c r="K28" s="87" t="e" vm="1">
        <f>IF(AND($F28="", $G28=""), "",
  _xlfn.IFNA(_xlfn.XLOOKUP($F28, database!$C:$C, database!$K:$K),
  _xlfn.IFNA(_xlfn.XLOOKUP($F28, database!$D:$D, database!$K:$K),
  _xlfn.IFNA(_xlfn.XLOOKUP($G28, database!$C:$C, database!$K:$K),
  _xlfn.IFNA(_xlfn.XLOOKUP($G28, database!$D:$D, database!$K:$K), "")))) &amp; ""
)</f>
        <v>#VALUE!</v>
      </c>
      <c r="L28" s="165" t="e" vm="1">
        <f>IF(AND($F28="", $G28=""), "",
  _xlfn.IFNA(_xlfn.XLOOKUP($F28, database!$C:$C, database!$F:$F),
  _xlfn.IFNA(_xlfn.XLOOKUP($F28, database!$D:$D, database!$F:$F),
  _xlfn.IFNA(_xlfn.XLOOKUP($G28, database!$C:$C, database!$F:$F),
  _xlfn.IFNA(_xlfn.XLOOKUP($G28, database!$D:$D, database!$F:$F), "")))) &amp; ""
)</f>
        <v>#VALUE!</v>
      </c>
      <c r="M28" s="105" t="e" vm="1">
        <f>IF(AND($F28="", $G28=""), "",
  _xlfn.IFNA(_xlfn.XLOOKUP($F28, database!$C:$C, database!$G:$G),
  _xlfn.IFNA(_xlfn.XLOOKUP($F28, database!$D:$D, database!$G:$G),
  _xlfn.IFNA(_xlfn.XLOOKUP($G28, database!$C:$C, database!$G:$G),
  _xlfn.IFNA(_xlfn.XLOOKUP($G28, database!$D:$D, database!$G:$G), "")))) &amp; ""
)</f>
        <v>#VALUE!</v>
      </c>
      <c r="N28" t="e" vm="1">
        <f>IF(AND($F28="", $G28=""), "",
   IF(OR(
        IF($F28&lt;&gt;"", COUNTIF(ringfence!A$2:A$10000, "*"&amp;$F28&amp;"*"), 0)&gt;0,
        IF($G28&lt;&gt;"", COUNTIF(ringfence!A$2:A$10000, "*"&amp;$G28&amp;"*"), 0)&gt;0
   ),
   "Yes", "No")
)</f>
        <v>#VALUE!</v>
      </c>
      <c r="O28" t="e" vm="1">
        <f>IF(AND($F28="", $G28=""), "",
   IF(OR(
        IF($F28&lt;&gt;"", COUNTIF(ringfence!B$2:B$10000, "*"&amp;$F28&amp;"*"), 0)&gt;0,
        IF($G28&lt;&gt;"", COUNTIF(ringfence!B$2:B$10000, "*"&amp;$G28&amp;"*"), 0)&gt;0
   ),
   "Yes", "No")
)</f>
        <v>#VALUE!</v>
      </c>
      <c r="P28" t="e" vm="1">
        <f>IF(AND($F28="", $G28=""), "",
   IF(OR(
        IF($F28&lt;&gt;"", COUNTIF(ringfence!C$2:C$10000, "*"&amp;$F28&amp;"*"), 0)&gt;0,
        IF($G28&lt;&gt;"", COUNTIF(ringfence!C$2:C$10000, "*"&amp;$G28&amp;"*"), 0)&gt;0
   ),
   "Yes", "No")
)</f>
        <v>#VALUE!</v>
      </c>
      <c r="Q28" t="e" vm="1">
        <f>IF(AND($F28="", $G28=""), "",
   IF(OR(
        IF($F28&lt;&gt;"", COUNTIF(ringfence!D$2:D$10000, "*"&amp;$F28&amp;"*"), 0)&gt;0,
        IF($G28&lt;&gt;"", COUNTIF(ringfence!D$2:D$10000, "*"&amp;$G28&amp;"*"), 0)&gt;0
   ),
   "Yes", "No")
)</f>
        <v>#VALUE!</v>
      </c>
      <c r="R28" t="e" vm="1">
        <f>IF(AND($F28="", $G28=""), "",
   IF(OR(
        IF($F28&lt;&gt;"", COUNTIF(ringfence!E$2:E$10000, "*"&amp;$F28&amp;"*"), 0)&gt;0,
        IF($G28&lt;&gt;"", COUNTIF(ringfence!E$2:E$10000, "*"&amp;$G28&amp;"*"), 0)&gt;0
   ),
   "Yes", "No")
)</f>
        <v>#VALUE!</v>
      </c>
      <c r="S28" t="str" cm="1">
        <f t="array" ref="S28">_xlfn.IFS(
    B28="1对1", "1x1",
    B28="1对2", "1x2",
    B28="小组会议", "小组会议",
    TRUE, B28
)</f>
        <v>1x1</v>
      </c>
      <c r="T28" s="32" t="e" vm="1">
        <f t="shared" si="1"/>
        <v>#VALUE!</v>
      </c>
    </row>
    <row r="29" spans="1:20" ht="85">
      <c r="A29" s="87" t="s">
        <v>243</v>
      </c>
      <c r="B29" s="88" t="s">
        <v>239</v>
      </c>
      <c r="C29" s="89" t="s">
        <v>240</v>
      </c>
      <c r="D29" s="89" t="s">
        <v>241</v>
      </c>
      <c r="E29" s="94" t="s">
        <v>590</v>
      </c>
      <c r="F29" s="87" t="e" cm="1" vm="2">
        <f t="array" ref="F29">IF(E29="","",
_xlfn._xlws.FILTER(
    IF(CompanyName1[]="","",CompanyName1[]),
    (ISNUMBER(SEARCH(E29,CompanyName1[机构名称（英文）]&amp;"")) +
     ISNUMBER(SEARCH(E29,CompanyName1[机构名称（中文）]&amp;"")))&gt;0
))</f>
        <v>#VALUE!</v>
      </c>
      <c r="G29" s="87"/>
      <c r="H29" s="90" t="e" vm="1">
        <f>IF(AND($F29="", $G29=""), "",
  _xlfn.IFNA(_xlfn.XLOOKUP($F29, database!$C:$C, database!$I:$I),
  _xlfn.IFNA(_xlfn.XLOOKUP($F29, database!$D:$D, database!$I:$I),
  _xlfn.IFNA(_xlfn.XLOOKUP($G29, database!$C:$C, database!$I:$I),
  _xlfn.IFNA(_xlfn.XLOOKUP($G29, database!$D:$D, database!$I:$I), "")))) &amp; ""
)</f>
        <v>#VALUE!</v>
      </c>
      <c r="I29" s="87" t="e" vm="1">
        <f>IF(AND($F29="", $G29=""), "",
  _xlfn.IFNA(_xlfn.XLOOKUP($F29, database!$C:$C, database!$J:$J),
  _xlfn.IFNA(_xlfn.XLOOKUP($F29, database!$D:$D, database!$J:$J),
  _xlfn.IFNA(_xlfn.XLOOKUP($G29, database!$C:$C, database!$J:$J),
  _xlfn.IFNA(_xlfn.XLOOKUP($G29, database!$D:$D, database!$J:$J), "")))) &amp; ""
)</f>
        <v>#VALUE!</v>
      </c>
      <c r="J29" s="87" t="e" vm="1">
        <f>IF(AND($F29="", $G29=""), "",
  _xlfn.IFNA(_xlfn.XLOOKUP($F29, database!$C:$C, database!$E:$E),
  _xlfn.IFNA(_xlfn.XLOOKUP($F29, database!$D:$D, database!$E:$E),
  _xlfn.IFNA(_xlfn.XLOOKUP($G29, database!$C:$C, database!$E:$E),
  _xlfn.IFNA(_xlfn.XLOOKUP($G29, database!$D:$D, database!$E:$E), ""))))
)</f>
        <v>#VALUE!</v>
      </c>
      <c r="K29" s="87" t="e" vm="1">
        <f>IF(AND($F29="", $G29=""), "",
  _xlfn.IFNA(_xlfn.XLOOKUP($F29, database!$C:$C, database!$K:$K),
  _xlfn.IFNA(_xlfn.XLOOKUP($F29, database!$D:$D, database!$K:$K),
  _xlfn.IFNA(_xlfn.XLOOKUP($G29, database!$C:$C, database!$K:$K),
  _xlfn.IFNA(_xlfn.XLOOKUP($G29, database!$D:$D, database!$K:$K), "")))) &amp; ""
)</f>
        <v>#VALUE!</v>
      </c>
      <c r="L29" s="165" t="e" vm="1">
        <f>IF(AND($F29="", $G29=""), "",
  _xlfn.IFNA(_xlfn.XLOOKUP($F29, database!$C:$C, database!$F:$F),
  _xlfn.IFNA(_xlfn.XLOOKUP($F29, database!$D:$D, database!$F:$F),
  _xlfn.IFNA(_xlfn.XLOOKUP($G29, database!$C:$C, database!$F:$F),
  _xlfn.IFNA(_xlfn.XLOOKUP($G29, database!$D:$D, database!$F:$F), "")))) &amp; ""
)</f>
        <v>#VALUE!</v>
      </c>
      <c r="M29" s="105" t="e" vm="1">
        <f>IF(AND($F29="", $G29=""), "",
  _xlfn.IFNA(_xlfn.XLOOKUP($F29, database!$C:$C, database!$G:$G),
  _xlfn.IFNA(_xlfn.XLOOKUP($F29, database!$D:$D, database!$G:$G),
  _xlfn.IFNA(_xlfn.XLOOKUP($G29, database!$C:$C, database!$G:$G),
  _xlfn.IFNA(_xlfn.XLOOKUP($G29, database!$D:$D, database!$G:$G), "")))) &amp; ""
)</f>
        <v>#VALUE!</v>
      </c>
      <c r="N29" t="e" vm="1">
        <f>IF(AND($F29="", $G29=""), "",
   IF(OR(
        IF($F29&lt;&gt;"", COUNTIF(ringfence!A$2:A$10000, "*"&amp;$F29&amp;"*"), 0)&gt;0,
        IF($G29&lt;&gt;"", COUNTIF(ringfence!A$2:A$10000, "*"&amp;$G29&amp;"*"), 0)&gt;0
   ),
   "Yes", "No")
)</f>
        <v>#VALUE!</v>
      </c>
      <c r="O29" t="e" vm="1">
        <f>IF(AND($F29="", $G29=""), "",
   IF(OR(
        IF($F29&lt;&gt;"", COUNTIF(ringfence!B$2:B$10000, "*"&amp;$F29&amp;"*"), 0)&gt;0,
        IF($G29&lt;&gt;"", COUNTIF(ringfence!B$2:B$10000, "*"&amp;$G29&amp;"*"), 0)&gt;0
   ),
   "Yes", "No")
)</f>
        <v>#VALUE!</v>
      </c>
      <c r="P29" t="e" vm="1">
        <f>IF(AND($F29="", $G29=""), "",
   IF(OR(
        IF($F29&lt;&gt;"", COUNTIF(ringfence!C$2:C$10000, "*"&amp;$F29&amp;"*"), 0)&gt;0,
        IF($G29&lt;&gt;"", COUNTIF(ringfence!C$2:C$10000, "*"&amp;$G29&amp;"*"), 0)&gt;0
   ),
   "Yes", "No")
)</f>
        <v>#VALUE!</v>
      </c>
      <c r="Q29" t="e" vm="1">
        <f>IF(AND($F29="", $G29=""), "",
   IF(OR(
        IF($F29&lt;&gt;"", COUNTIF(ringfence!D$2:D$10000, "*"&amp;$F29&amp;"*"), 0)&gt;0,
        IF($G29&lt;&gt;"", COUNTIF(ringfence!D$2:D$10000, "*"&amp;$G29&amp;"*"), 0)&gt;0
   ),
   "Yes", "No")
)</f>
        <v>#VALUE!</v>
      </c>
      <c r="R29" t="e" vm="1">
        <f>IF(AND($F29="", $G29=""), "",
   IF(OR(
        IF($F29&lt;&gt;"", COUNTIF(ringfence!E$2:E$10000, "*"&amp;$F29&amp;"*"), 0)&gt;0,
        IF($G29&lt;&gt;"", COUNTIF(ringfence!E$2:E$10000, "*"&amp;$G29&amp;"*"), 0)&gt;0
   ),
   "Yes", "No")
)</f>
        <v>#VALUE!</v>
      </c>
      <c r="S29" t="str" cm="1">
        <f t="array" ref="S29">_xlfn.IFS(
    B29="1对1", "1x1",
    B29="1对2", "1x2",
    B29="小组会议", "小组会议",
    TRUE, B29
)</f>
        <v>1x1</v>
      </c>
      <c r="T29" s="32" t="e" vm="1">
        <f t="shared" si="1"/>
        <v>#VALUE!</v>
      </c>
    </row>
    <row r="30" spans="1:20" ht="102">
      <c r="A30" s="87"/>
      <c r="B30" s="88"/>
      <c r="C30" s="89"/>
      <c r="D30" s="89"/>
      <c r="E30" s="94" t="s">
        <v>591</v>
      </c>
      <c r="F30" s="87" t="e" cm="1" vm="2">
        <f t="array" ref="F30">IF(E30="","",
_xlfn._xlws.FILTER(
    IF(CompanyName1[]="","",CompanyName1[]),
    (ISNUMBER(SEARCH(E30,CompanyName1[机构名称（英文）]&amp;"")) +
     ISNUMBER(SEARCH(E30,CompanyName1[机构名称（中文）]&amp;"")))&gt;0
))</f>
        <v>#VALUE!</v>
      </c>
      <c r="G30" s="87"/>
      <c r="H30" s="90" t="e" vm="1">
        <f>IF(AND($F30="", $G30=""), "",
  _xlfn.IFNA(_xlfn.XLOOKUP($F30, database!$C:$C, database!$I:$I),
  _xlfn.IFNA(_xlfn.XLOOKUP($F30, database!$D:$D, database!$I:$I),
  _xlfn.IFNA(_xlfn.XLOOKUP($G30, database!$C:$C, database!$I:$I),
  _xlfn.IFNA(_xlfn.XLOOKUP($G30, database!$D:$D, database!$I:$I), "")))) &amp; ""
)</f>
        <v>#VALUE!</v>
      </c>
      <c r="I30" s="87" t="e" vm="1">
        <f>IF(AND($F30="", $G30=""), "",
  _xlfn.IFNA(_xlfn.XLOOKUP($F30, database!$C:$C, database!$J:$J),
  _xlfn.IFNA(_xlfn.XLOOKUP($F30, database!$D:$D, database!$J:$J),
  _xlfn.IFNA(_xlfn.XLOOKUP($G30, database!$C:$C, database!$J:$J),
  _xlfn.IFNA(_xlfn.XLOOKUP($G30, database!$D:$D, database!$J:$J), "")))) &amp; ""
)</f>
        <v>#VALUE!</v>
      </c>
      <c r="J30" s="87" t="e" vm="1">
        <f>IF(AND($F30="", $G30=""), "",
  _xlfn.IFNA(_xlfn.XLOOKUP($F30, database!$C:$C, database!$E:$E),
  _xlfn.IFNA(_xlfn.XLOOKUP($F30, database!$D:$D, database!$E:$E),
  _xlfn.IFNA(_xlfn.XLOOKUP($G30, database!$C:$C, database!$E:$E),
  _xlfn.IFNA(_xlfn.XLOOKUP($G30, database!$D:$D, database!$E:$E), ""))))
)</f>
        <v>#VALUE!</v>
      </c>
      <c r="K30" s="87" t="e" vm="1">
        <f>IF(AND($F30="", $G30=""), "",
  _xlfn.IFNA(_xlfn.XLOOKUP($F30, database!$C:$C, database!$K:$K),
  _xlfn.IFNA(_xlfn.XLOOKUP($F30, database!$D:$D, database!$K:$K),
  _xlfn.IFNA(_xlfn.XLOOKUP($G30, database!$C:$C, database!$K:$K),
  _xlfn.IFNA(_xlfn.XLOOKUP($G30, database!$D:$D, database!$K:$K), "")))) &amp; ""
)</f>
        <v>#VALUE!</v>
      </c>
      <c r="L30" s="165" t="e" vm="1">
        <f>IF(AND($F30="", $G30=""), "",
  _xlfn.IFNA(_xlfn.XLOOKUP($F30, database!$C:$C, database!$F:$F),
  _xlfn.IFNA(_xlfn.XLOOKUP($F30, database!$D:$D, database!$F:$F),
  _xlfn.IFNA(_xlfn.XLOOKUP($G30, database!$C:$C, database!$F:$F),
  _xlfn.IFNA(_xlfn.XLOOKUP($G30, database!$D:$D, database!$F:$F), "")))) &amp; ""
)</f>
        <v>#VALUE!</v>
      </c>
      <c r="M30" s="105" t="e" vm="1">
        <f>IF(AND($F30="", $G30=""), "",
  _xlfn.IFNA(_xlfn.XLOOKUP($F30, database!$C:$C, database!$G:$G),
  _xlfn.IFNA(_xlfn.XLOOKUP($F30, database!$D:$D, database!$G:$G),
  _xlfn.IFNA(_xlfn.XLOOKUP($G30, database!$C:$C, database!$G:$G),
  _xlfn.IFNA(_xlfn.XLOOKUP($G30, database!$D:$D, database!$G:$G), "")))) &amp; ""
)</f>
        <v>#VALUE!</v>
      </c>
      <c r="N30" t="e" vm="1">
        <f>IF(AND($F30="", $G30=""), "",
   IF(OR(
        IF($F30&lt;&gt;"", COUNTIF(ringfence!A$2:A$10000, "*"&amp;$F30&amp;"*"), 0)&gt;0,
        IF($G30&lt;&gt;"", COUNTIF(ringfence!A$2:A$10000, "*"&amp;$G30&amp;"*"), 0)&gt;0
   ),
   "Yes", "No")
)</f>
        <v>#VALUE!</v>
      </c>
      <c r="O30" t="e" vm="1">
        <f>IF(AND($F30="", $G30=""), "",
   IF(OR(
        IF($F30&lt;&gt;"", COUNTIF(ringfence!B$2:B$10000, "*"&amp;$F30&amp;"*"), 0)&gt;0,
        IF($G30&lt;&gt;"", COUNTIF(ringfence!B$2:B$10000, "*"&amp;$G30&amp;"*"), 0)&gt;0
   ),
   "Yes", "No")
)</f>
        <v>#VALUE!</v>
      </c>
      <c r="P30" t="e" vm="1">
        <f>IF(AND($F30="", $G30=""), "",
   IF(OR(
        IF($F30&lt;&gt;"", COUNTIF(ringfence!C$2:C$10000, "*"&amp;$F30&amp;"*"), 0)&gt;0,
        IF($G30&lt;&gt;"", COUNTIF(ringfence!C$2:C$10000, "*"&amp;$G30&amp;"*"), 0)&gt;0
   ),
   "Yes", "No")
)</f>
        <v>#VALUE!</v>
      </c>
      <c r="Q30" t="e" vm="1">
        <f>IF(AND($F30="", $G30=""), "",
   IF(OR(
        IF($F30&lt;&gt;"", COUNTIF(ringfence!D$2:D$10000, "*"&amp;$F30&amp;"*"), 0)&gt;0,
        IF($G30&lt;&gt;"", COUNTIF(ringfence!D$2:D$10000, "*"&amp;$G30&amp;"*"), 0)&gt;0
   ),
   "Yes", "No")
)</f>
        <v>#VALUE!</v>
      </c>
      <c r="R30" t="e" vm="1">
        <f>IF(AND($F30="", $G30=""), "",
   IF(OR(
        IF($F30&lt;&gt;"", COUNTIF(ringfence!E$2:E$10000, "*"&amp;$F30&amp;"*"), 0)&gt;0,
        IF($G30&lt;&gt;"", COUNTIF(ringfence!E$2:E$10000, "*"&amp;$G30&amp;"*"), 0)&gt;0
   ),
   "Yes", "No")
)</f>
        <v>#VALUE!</v>
      </c>
      <c r="S30" cm="1">
        <f t="array" ref="S30">_xlfn.IFS(
    B30="1对1", "1x1",
    B30="1对2", "1x2",
    B30="小组会议", "小组会议",
    TRUE, B30
)</f>
        <v>0</v>
      </c>
      <c r="T30" s="32" t="e" vm="1">
        <f t="shared" si="1"/>
        <v>#VALUE!</v>
      </c>
    </row>
    <row r="31" spans="1:20" ht="30.25" customHeight="1">
      <c r="A31" s="87"/>
      <c r="B31" s="88"/>
      <c r="C31" s="89"/>
      <c r="D31" s="89"/>
      <c r="E31" s="94" t="s">
        <v>592</v>
      </c>
      <c r="F31" s="87" t="e" cm="1" vm="2">
        <f t="array" ref="F31">IF(E31="","",
_xlfn._xlws.FILTER(
    IF(CompanyName1[]="","",CompanyName1[]),
    (ISNUMBER(SEARCH(E31,CompanyName1[机构名称（英文）]&amp;"")) +
     ISNUMBER(SEARCH(E31,CompanyName1[机构名称（中文）]&amp;"")))&gt;0
))</f>
        <v>#VALUE!</v>
      </c>
      <c r="G31" s="87"/>
      <c r="H31" s="90" t="e" vm="1">
        <f>IF(AND($F31="", $G31=""), "",
  _xlfn.IFNA(_xlfn.XLOOKUP($F31, database!$C:$C, database!$I:$I),
  _xlfn.IFNA(_xlfn.XLOOKUP($F31, database!$D:$D, database!$I:$I),
  _xlfn.IFNA(_xlfn.XLOOKUP($G31, database!$C:$C, database!$I:$I),
  _xlfn.IFNA(_xlfn.XLOOKUP($G31, database!$D:$D, database!$I:$I), "")))) &amp; ""
)</f>
        <v>#VALUE!</v>
      </c>
      <c r="I31" s="87" t="e" vm="1">
        <f>IF(AND($F31="", $G31=""), "",
  _xlfn.IFNA(_xlfn.XLOOKUP($F31, database!$C:$C, database!$J:$J),
  _xlfn.IFNA(_xlfn.XLOOKUP($F31, database!$D:$D, database!$J:$J),
  _xlfn.IFNA(_xlfn.XLOOKUP($G31, database!$C:$C, database!$J:$J),
  _xlfn.IFNA(_xlfn.XLOOKUP($G31, database!$D:$D, database!$J:$J), "")))) &amp; ""
)</f>
        <v>#VALUE!</v>
      </c>
      <c r="J31" s="87" t="e" vm="1">
        <f>IF(AND($F31="", $G31=""), "",
  _xlfn.IFNA(_xlfn.XLOOKUP($F31, database!$C:$C, database!$E:$E),
  _xlfn.IFNA(_xlfn.XLOOKUP($F31, database!$D:$D, database!$E:$E),
  _xlfn.IFNA(_xlfn.XLOOKUP($G31, database!$C:$C, database!$E:$E),
  _xlfn.IFNA(_xlfn.XLOOKUP($G31, database!$D:$D, database!$E:$E), ""))))
)</f>
        <v>#VALUE!</v>
      </c>
      <c r="K31" s="87" t="e" vm="1">
        <f>IF(AND($F31="", $G31=""), "",
  _xlfn.IFNA(_xlfn.XLOOKUP($F31, database!$C:$C, database!$K:$K),
  _xlfn.IFNA(_xlfn.XLOOKUP($F31, database!$D:$D, database!$K:$K),
  _xlfn.IFNA(_xlfn.XLOOKUP($G31, database!$C:$C, database!$K:$K),
  _xlfn.IFNA(_xlfn.XLOOKUP($G31, database!$D:$D, database!$K:$K), "")))) &amp; ""
)</f>
        <v>#VALUE!</v>
      </c>
      <c r="L31" s="165" t="e" vm="1">
        <f>IF(AND($F31="", $G31=""), "",
  _xlfn.IFNA(_xlfn.XLOOKUP($F31, database!$C:$C, database!$F:$F),
  _xlfn.IFNA(_xlfn.XLOOKUP($F31, database!$D:$D, database!$F:$F),
  _xlfn.IFNA(_xlfn.XLOOKUP($G31, database!$C:$C, database!$F:$F),
  _xlfn.IFNA(_xlfn.XLOOKUP($G31, database!$D:$D, database!$F:$F), "")))) &amp; ""
)</f>
        <v>#VALUE!</v>
      </c>
      <c r="M31" s="105" t="e" vm="1">
        <f>IF(AND($F31="", $G31=""), "",
  _xlfn.IFNA(_xlfn.XLOOKUP($F31, database!$C:$C, database!$G:$G),
  _xlfn.IFNA(_xlfn.XLOOKUP($F31, database!$D:$D, database!$G:$G),
  _xlfn.IFNA(_xlfn.XLOOKUP($G31, database!$C:$C, database!$G:$G),
  _xlfn.IFNA(_xlfn.XLOOKUP($G31, database!$D:$D, database!$G:$G), "")))) &amp; ""
)</f>
        <v>#VALUE!</v>
      </c>
      <c r="N31" t="e" vm="1">
        <f>IF(AND($F31="", $G31=""), "",
   IF(OR(
        IF($F31&lt;&gt;"", COUNTIF(ringfence!A$2:A$10000, "*"&amp;$F31&amp;"*"), 0)&gt;0,
        IF($G31&lt;&gt;"", COUNTIF(ringfence!A$2:A$10000, "*"&amp;$G31&amp;"*"), 0)&gt;0
   ),
   "Yes", "No")
)</f>
        <v>#VALUE!</v>
      </c>
      <c r="O31" t="e" vm="1">
        <f>IF(AND($F31="", $G31=""), "",
   IF(OR(
        IF($F31&lt;&gt;"", COUNTIF(ringfence!B$2:B$10000, "*"&amp;$F31&amp;"*"), 0)&gt;0,
        IF($G31&lt;&gt;"", COUNTIF(ringfence!B$2:B$10000, "*"&amp;$G31&amp;"*"), 0)&gt;0
   ),
   "Yes", "No")
)</f>
        <v>#VALUE!</v>
      </c>
      <c r="P31" t="e" vm="1">
        <f>IF(AND($F31="", $G31=""), "",
   IF(OR(
        IF($F31&lt;&gt;"", COUNTIF(ringfence!C$2:C$10000, "*"&amp;$F31&amp;"*"), 0)&gt;0,
        IF($G31&lt;&gt;"", COUNTIF(ringfence!C$2:C$10000, "*"&amp;$G31&amp;"*"), 0)&gt;0
   ),
   "Yes", "No")
)</f>
        <v>#VALUE!</v>
      </c>
      <c r="Q31" t="e" vm="1">
        <f>IF(AND($F31="", $G31=""), "",
   IF(OR(
        IF($F31&lt;&gt;"", COUNTIF(ringfence!D$2:D$10000, "*"&amp;$F31&amp;"*"), 0)&gt;0,
        IF($G31&lt;&gt;"", COUNTIF(ringfence!D$2:D$10000, "*"&amp;$G31&amp;"*"), 0)&gt;0
   ),
   "Yes", "No")
)</f>
        <v>#VALUE!</v>
      </c>
      <c r="R31" t="e" vm="1">
        <f>IF(AND($F31="", $G31=""), "",
   IF(OR(
        IF($F31&lt;&gt;"", COUNTIF(ringfence!E$2:E$10000, "*"&amp;$F31&amp;"*"), 0)&gt;0,
        IF($G31&lt;&gt;"", COUNTIF(ringfence!E$2:E$10000, "*"&amp;$G31&amp;"*"), 0)&gt;0
   ),
   "Yes", "No")
)</f>
        <v>#VALUE!</v>
      </c>
      <c r="S31" cm="1">
        <f t="array" ref="S31">_xlfn.IFS(
    B31="1对1", "1x1",
    B31="1对2", "1x2",
    B31="小组会议", "小组会议",
    TRUE, B31
)</f>
        <v>0</v>
      </c>
      <c r="T31" s="32" t="e" vm="1">
        <f t="shared" si="1"/>
        <v>#VALUE!</v>
      </c>
    </row>
    <row r="32" spans="1:20" ht="17" customHeight="1">
      <c r="E32" s="87"/>
    </row>
    <row r="33" spans="1:20" ht="30.25" customHeight="1">
      <c r="A33" s="73" t="s">
        <v>246</v>
      </c>
      <c r="P33" s="163"/>
      <c r="Q33" s="161"/>
    </row>
    <row r="34" spans="1:20" ht="30.25" customHeight="1">
      <c r="A34" s="93" t="s">
        <v>68</v>
      </c>
      <c r="B34" s="92">
        <v>46162</v>
      </c>
      <c r="P34" s="163"/>
      <c r="Q34" s="161"/>
    </row>
    <row r="35" spans="1:20" ht="18" customHeight="1">
      <c r="A35" s="94" t="s">
        <v>69</v>
      </c>
      <c r="B35" s="86" t="s">
        <v>549</v>
      </c>
      <c r="K35" s="32"/>
      <c r="P35" s="163"/>
      <c r="Q35" s="161"/>
    </row>
    <row r="36" spans="1:20" ht="30.25" customHeight="1">
      <c r="A36" s="85" t="s">
        <v>230</v>
      </c>
      <c r="B36" s="85" t="s">
        <v>360</v>
      </c>
      <c r="C36" s="85" t="s">
        <v>361</v>
      </c>
      <c r="D36" s="85" t="s">
        <v>362</v>
      </c>
      <c r="E36" s="100" t="s">
        <v>366</v>
      </c>
      <c r="F36" s="85" t="s">
        <v>355</v>
      </c>
      <c r="G36" s="85" t="s">
        <v>356</v>
      </c>
      <c r="H36" s="85" t="s">
        <v>234</v>
      </c>
      <c r="I36" s="85" t="s">
        <v>235</v>
      </c>
      <c r="J36" s="85" t="s">
        <v>236</v>
      </c>
      <c r="K36" s="85" t="s">
        <v>237</v>
      </c>
      <c r="L36" s="85" t="s">
        <v>238</v>
      </c>
      <c r="M36" s="85" t="s">
        <v>367</v>
      </c>
      <c r="N36" s="85" t="str">
        <f>"In " &amp;ringfence!A$1&amp; " ringfence?"</f>
        <v>In CMS ringfence?</v>
      </c>
      <c r="O36" s="85" t="str">
        <f>"In " &amp;ringfence!B$1&amp; " ringfence?"</f>
        <v>In 银河 ringfence?</v>
      </c>
      <c r="P36" s="85" t="str">
        <f>"In " &amp;ringfence!C$1&amp; " ringfence?"</f>
        <v>In Bank3 ringfence?</v>
      </c>
      <c r="Q36" s="85" t="str">
        <f>"In " &amp;ringfence!D$1&amp; " ringfence?"</f>
        <v>In Bank4 ringfence?</v>
      </c>
      <c r="R36" s="85" t="str">
        <f>"In " &amp;ringfence!E$1&amp; " ringfence?"</f>
        <v>In Bank5 ringfence?</v>
      </c>
      <c r="S36" s="87" t="s">
        <v>493</v>
      </c>
      <c r="T36" s="87" t="s">
        <v>493</v>
      </c>
    </row>
    <row r="37" spans="1:20" ht="68">
      <c r="A37" s="87" t="s">
        <v>505</v>
      </c>
      <c r="B37" s="88" t="s">
        <v>239</v>
      </c>
      <c r="C37" s="89" t="s">
        <v>240</v>
      </c>
      <c r="D37" s="89" t="s">
        <v>241</v>
      </c>
      <c r="E37" s="94" t="s">
        <v>593</v>
      </c>
      <c r="F37" s="87" t="e" cm="1" vm="2">
        <f t="array" ref="F37">IF(E37="","",
_xlfn._xlws.FILTER(
    IF(CompanyName1[]="","",CompanyName1[]),
    (ISNUMBER(SEARCH(E37,CompanyName1[机构名称（英文）]&amp;"")) +
     ISNUMBER(SEARCH(E37,CompanyName1[机构名称（中文）]&amp;"")))&gt;0
))</f>
        <v>#VALUE!</v>
      </c>
      <c r="G37" s="87"/>
      <c r="H37" s="90" t="e" vm="1">
        <f>IF(AND($F37="", $G37=""), "",
  _xlfn.IFNA(_xlfn.XLOOKUP($F37, database!$C:$C, database!$I:$I),
  _xlfn.IFNA(_xlfn.XLOOKUP($F37, database!$D:$D, database!$I:$I),
  _xlfn.IFNA(_xlfn.XLOOKUP($G37, database!$C:$C, database!$I:$I),
  _xlfn.IFNA(_xlfn.XLOOKUP($G37, database!$D:$D, database!$I:$I), "")))) &amp; ""
)</f>
        <v>#VALUE!</v>
      </c>
      <c r="I37" s="87" t="e" vm="1">
        <f>IF(AND($F37="", $G37=""), "",
  _xlfn.IFNA(_xlfn.XLOOKUP($F37, database!$C:$C, database!$J:$J),
  _xlfn.IFNA(_xlfn.XLOOKUP($F37, database!$D:$D, database!$J:$J),
  _xlfn.IFNA(_xlfn.XLOOKUP($G37, database!$C:$C, database!$J:$J),
  _xlfn.IFNA(_xlfn.XLOOKUP($G37, database!$D:$D, database!$J:$J), "")))) &amp; ""
)</f>
        <v>#VALUE!</v>
      </c>
      <c r="J37" s="87" t="e" vm="1">
        <f>IF(AND($F37="", $G37=""), "",
  _xlfn.IFNA(_xlfn.XLOOKUP($F37, database!$C:$C, database!$E:$E),
  _xlfn.IFNA(_xlfn.XLOOKUP($F37, database!$D:$D, database!$E:$E),
  _xlfn.IFNA(_xlfn.XLOOKUP($G37, database!$C:$C, database!$E:$E),
  _xlfn.IFNA(_xlfn.XLOOKUP($G37, database!$D:$D, database!$E:$E), ""))))
)</f>
        <v>#VALUE!</v>
      </c>
      <c r="K37" s="87" t="e" vm="1">
        <f>IF(AND($F37="", $G37=""), "",
  _xlfn.IFNA(_xlfn.XLOOKUP($F37, database!$C:$C, database!$K:$K),
  _xlfn.IFNA(_xlfn.XLOOKUP($F37, database!$D:$D, database!$K:$K),
  _xlfn.IFNA(_xlfn.XLOOKUP($G37, database!$C:$C, database!$K:$K),
  _xlfn.IFNA(_xlfn.XLOOKUP($G37, database!$D:$D, database!$K:$K), "")))) &amp; ""
)</f>
        <v>#VALUE!</v>
      </c>
      <c r="L37" s="165" t="e" vm="1">
        <f>IF(AND($F37="", $G37=""), "",
  _xlfn.IFNA(_xlfn.XLOOKUP($F37, database!$C:$C, database!$F:$F),
  _xlfn.IFNA(_xlfn.XLOOKUP($F37, database!$D:$D, database!$F:$F),
  _xlfn.IFNA(_xlfn.XLOOKUP($G37, database!$C:$C, database!$F:$F),
  _xlfn.IFNA(_xlfn.XLOOKUP($G37, database!$D:$D, database!$F:$F), "")))) &amp; ""
)</f>
        <v>#VALUE!</v>
      </c>
      <c r="M37" s="105" t="e" vm="1">
        <f>IF(AND($F37="", $G37=""), "",
  _xlfn.IFNA(_xlfn.XLOOKUP($F37, database!$C:$C, database!$G:$G),
  _xlfn.IFNA(_xlfn.XLOOKUP($F37, database!$D:$D, database!$G:$G),
  _xlfn.IFNA(_xlfn.XLOOKUP($G37, database!$C:$C, database!$G:$G),
  _xlfn.IFNA(_xlfn.XLOOKUP($G37, database!$D:$D, database!$G:$G), "")))) &amp; ""
)</f>
        <v>#VALUE!</v>
      </c>
      <c r="N37" t="e" vm="1">
        <f>IF(AND($F37="", $G37=""), "",
   IF(OR(
        IF($F37&lt;&gt;"", COUNTIF(ringfence!A$2:A$10000, "*"&amp;$F37&amp;"*"), 0)&gt;0,
        IF($G37&lt;&gt;"", COUNTIF(ringfence!A$2:A$10000, "*"&amp;$G37&amp;"*"), 0)&gt;0
   ),
   "Yes", "No")
)</f>
        <v>#VALUE!</v>
      </c>
      <c r="O37" t="e" vm="1">
        <f>IF(AND($F37="", $G37=""), "",
   IF(OR(
        IF($F37&lt;&gt;"", COUNTIF(ringfence!B$2:B$10000, "*"&amp;$F37&amp;"*"), 0)&gt;0,
        IF($G37&lt;&gt;"", COUNTIF(ringfence!B$2:B$10000, "*"&amp;$G37&amp;"*"), 0)&gt;0
   ),
   "Yes", "No")
)</f>
        <v>#VALUE!</v>
      </c>
      <c r="P37" t="e" vm="1">
        <f>IF(AND($F37="", $G37=""), "",
   IF(OR(
        IF($F37&lt;&gt;"", COUNTIF(ringfence!C$2:C$10000, "*"&amp;$F37&amp;"*"), 0)&gt;0,
        IF($G37&lt;&gt;"", COUNTIF(ringfence!C$2:C$10000, "*"&amp;$G37&amp;"*"), 0)&gt;0
   ),
   "Yes", "No")
)</f>
        <v>#VALUE!</v>
      </c>
      <c r="Q37" t="e" vm="1">
        <f>IF(AND($F37="", $G37=""), "",
   IF(OR(
        IF($F37&lt;&gt;"", COUNTIF(ringfence!D$2:D$10000, "*"&amp;$F37&amp;"*"), 0)&gt;0,
        IF($G37&lt;&gt;"", COUNTIF(ringfence!D$2:D$10000, "*"&amp;$G37&amp;"*"), 0)&gt;0
   ),
   "Yes", "No")
)</f>
        <v>#VALUE!</v>
      </c>
      <c r="R37" t="e" vm="1">
        <f>IF(AND($F37="", $G37=""), "",
   IF(OR(
        IF($F37&lt;&gt;"", COUNTIF(ringfence!E$2:E$10000, "*"&amp;$F37&amp;"*"), 0)&gt;0,
        IF($G37&lt;&gt;"", COUNTIF(ringfence!E$2:E$10000, "*"&amp;$G37&amp;"*"), 0)&gt;0
   ),
   "Yes", "No")
)</f>
        <v>#VALUE!</v>
      </c>
      <c r="S37" s="87" t="str" cm="1">
        <f t="array" ref="S37">_xlfn.IFS(
    B37="1对1", "1x1",
    B37="1对2", "1x2",
    B37="小组会议", "小组会议",
    TRUE, B37
)</f>
        <v>1x1</v>
      </c>
      <c r="T37" s="32" t="e" vm="1">
        <f t="shared" ref="T37:T42" si="2">G37 &amp; CHAR(10) &amp; F37</f>
        <v>#VALUE!</v>
      </c>
    </row>
    <row r="38" spans="1:20" ht="85">
      <c r="A38" s="87" t="s">
        <v>506</v>
      </c>
      <c r="B38" s="88" t="s">
        <v>239</v>
      </c>
      <c r="C38" s="89" t="s">
        <v>240</v>
      </c>
      <c r="D38" s="89" t="s">
        <v>241</v>
      </c>
      <c r="E38" s="94" t="s">
        <v>594</v>
      </c>
      <c r="F38" s="87" t="e" cm="1" vm="2">
        <f t="array" ref="F38">IF(E38="","",
_xlfn._xlws.FILTER(
    IF(CompanyName1[]="","",CompanyName1[]),
    (ISNUMBER(SEARCH(E38,CompanyName1[机构名称（英文）]&amp;"")) +
     ISNUMBER(SEARCH(E38,CompanyName1[机构名称（中文）]&amp;"")))&gt;0
))</f>
        <v>#VALUE!</v>
      </c>
      <c r="G38" s="87"/>
      <c r="H38" s="90" t="e" vm="1">
        <f>IF(AND($F38="", $G38=""), "",
  _xlfn.IFNA(_xlfn.XLOOKUP($F38, database!$C:$C, database!$I:$I),
  _xlfn.IFNA(_xlfn.XLOOKUP($F38, database!$D:$D, database!$I:$I),
  _xlfn.IFNA(_xlfn.XLOOKUP($G38, database!$C:$C, database!$I:$I),
  _xlfn.IFNA(_xlfn.XLOOKUP($G38, database!$D:$D, database!$I:$I), "")))) &amp; ""
)</f>
        <v>#VALUE!</v>
      </c>
      <c r="I38" s="87" t="e" vm="1">
        <f>IF(AND($F38="", $G38=""), "",
  _xlfn.IFNA(_xlfn.XLOOKUP($F38, database!$C:$C, database!$J:$J),
  _xlfn.IFNA(_xlfn.XLOOKUP($F38, database!$D:$D, database!$J:$J),
  _xlfn.IFNA(_xlfn.XLOOKUP($G38, database!$C:$C, database!$J:$J),
  _xlfn.IFNA(_xlfn.XLOOKUP($G38, database!$D:$D, database!$J:$J), "")))) &amp; ""
)</f>
        <v>#VALUE!</v>
      </c>
      <c r="J38" s="87" t="e" vm="1">
        <f>IF(AND($F38="", $G38=""), "",
  _xlfn.IFNA(_xlfn.XLOOKUP($F38, database!$C:$C, database!$E:$E),
  _xlfn.IFNA(_xlfn.XLOOKUP($F38, database!$D:$D, database!$E:$E),
  _xlfn.IFNA(_xlfn.XLOOKUP($G38, database!$C:$C, database!$E:$E),
  _xlfn.IFNA(_xlfn.XLOOKUP($G38, database!$D:$D, database!$E:$E), ""))))
)</f>
        <v>#VALUE!</v>
      </c>
      <c r="K38" s="87" t="e" vm="1">
        <f>IF(AND($F38="", $G38=""), "",
  _xlfn.IFNA(_xlfn.XLOOKUP($F38, database!$C:$C, database!$K:$K),
  _xlfn.IFNA(_xlfn.XLOOKUP($F38, database!$D:$D, database!$K:$K),
  _xlfn.IFNA(_xlfn.XLOOKUP($G38, database!$C:$C, database!$K:$K),
  _xlfn.IFNA(_xlfn.XLOOKUP($G38, database!$D:$D, database!$K:$K), "")))) &amp; ""
)</f>
        <v>#VALUE!</v>
      </c>
      <c r="L38" s="165" t="e" vm="1">
        <f>IF(AND($F38="", $G38=""), "",
  _xlfn.IFNA(_xlfn.XLOOKUP($F38, database!$C:$C, database!$F:$F),
  _xlfn.IFNA(_xlfn.XLOOKUP($F38, database!$D:$D, database!$F:$F),
  _xlfn.IFNA(_xlfn.XLOOKUP($G38, database!$C:$C, database!$F:$F),
  _xlfn.IFNA(_xlfn.XLOOKUP($G38, database!$D:$D, database!$F:$F), "")))) &amp; ""
)</f>
        <v>#VALUE!</v>
      </c>
      <c r="M38" s="105" t="e" vm="1">
        <f>IF(AND($F38="", $G38=""), "",
  _xlfn.IFNA(_xlfn.XLOOKUP($F38, database!$C:$C, database!$G:$G),
  _xlfn.IFNA(_xlfn.XLOOKUP($F38, database!$D:$D, database!$G:$G),
  _xlfn.IFNA(_xlfn.XLOOKUP($G38, database!$C:$C, database!$G:$G),
  _xlfn.IFNA(_xlfn.XLOOKUP($G38, database!$D:$D, database!$G:$G), "")))) &amp; ""
)</f>
        <v>#VALUE!</v>
      </c>
      <c r="N38" t="e" vm="1">
        <f>IF(AND($F38="", $G38=""), "",
   IF(OR(
        IF($F38&lt;&gt;"", COUNTIF(ringfence!A$2:A$10000, "*"&amp;$F38&amp;"*"), 0)&gt;0,
        IF($G38&lt;&gt;"", COUNTIF(ringfence!A$2:A$10000, "*"&amp;$G38&amp;"*"), 0)&gt;0
   ),
   "Yes", "No")
)</f>
        <v>#VALUE!</v>
      </c>
      <c r="O38" t="e" vm="1">
        <f>IF(AND($F38="", $G38=""), "",
   IF(OR(
        IF($F38&lt;&gt;"", COUNTIF(ringfence!B$2:B$10000, "*"&amp;$F38&amp;"*"), 0)&gt;0,
        IF($G38&lt;&gt;"", COUNTIF(ringfence!B$2:B$10000, "*"&amp;$G38&amp;"*"), 0)&gt;0
   ),
   "Yes", "No")
)</f>
        <v>#VALUE!</v>
      </c>
      <c r="P38" t="e" vm="1">
        <f>IF(AND($F38="", $G38=""), "",
   IF(OR(
        IF($F38&lt;&gt;"", COUNTIF(ringfence!C$2:C$10000, "*"&amp;$F38&amp;"*"), 0)&gt;0,
        IF($G38&lt;&gt;"", COUNTIF(ringfence!C$2:C$10000, "*"&amp;$G38&amp;"*"), 0)&gt;0
   ),
   "Yes", "No")
)</f>
        <v>#VALUE!</v>
      </c>
      <c r="Q38" t="e" vm="1">
        <f>IF(AND($F38="", $G38=""), "",
   IF(OR(
        IF($F38&lt;&gt;"", COUNTIF(ringfence!D$2:D$10000, "*"&amp;$F38&amp;"*"), 0)&gt;0,
        IF($G38&lt;&gt;"", COUNTIF(ringfence!D$2:D$10000, "*"&amp;$G38&amp;"*"), 0)&gt;0
   ),
   "Yes", "No")
)</f>
        <v>#VALUE!</v>
      </c>
      <c r="R38" t="e" vm="1">
        <f>IF(AND($F38="", $G38=""), "",
   IF(OR(
        IF($F38&lt;&gt;"", COUNTIF(ringfence!E$2:E$10000, "*"&amp;$F38&amp;"*"), 0)&gt;0,
        IF($G38&lt;&gt;"", COUNTIF(ringfence!E$2:E$10000, "*"&amp;$G38&amp;"*"), 0)&gt;0
   ),
   "Yes", "No")
)</f>
        <v>#VALUE!</v>
      </c>
      <c r="S38" s="87" t="str" cm="1">
        <f t="array" ref="S38">_xlfn.IFS(
    B38="1对1", "1x1",
    B38="1对2", "1x2",
    B38="小组会议", "小组会议",
    TRUE, B38
)</f>
        <v>1x1</v>
      </c>
      <c r="T38" s="32" t="e" vm="1">
        <f t="shared" si="2"/>
        <v>#VALUE!</v>
      </c>
    </row>
    <row r="39" spans="1:20" ht="119">
      <c r="A39" s="87" t="s">
        <v>550</v>
      </c>
      <c r="B39" s="88" t="s">
        <v>239</v>
      </c>
      <c r="C39" s="89" t="s">
        <v>240</v>
      </c>
      <c r="D39" s="89" t="s">
        <v>241</v>
      </c>
      <c r="E39" s="94" t="s">
        <v>595</v>
      </c>
      <c r="F39" s="87" t="e" cm="1" vm="2">
        <f t="array" ref="F39">IF(E39="","",
_xlfn._xlws.FILTER(
    IF(CompanyName1[]="","",CompanyName1[]),
    (ISNUMBER(SEARCH(E39,CompanyName1[机构名称（英文）]&amp;"")) +
     ISNUMBER(SEARCH(E39,CompanyName1[机构名称（中文）]&amp;"")))&gt;0
))</f>
        <v>#VALUE!</v>
      </c>
      <c r="G39" s="87"/>
      <c r="H39" s="90" t="e" vm="1">
        <f>IF(AND($F39="", $G39=""), "",
  _xlfn.IFNA(_xlfn.XLOOKUP($F39, database!$C:$C, database!$I:$I),
  _xlfn.IFNA(_xlfn.XLOOKUP($F39, database!$D:$D, database!$I:$I),
  _xlfn.IFNA(_xlfn.XLOOKUP($G39, database!$C:$C, database!$I:$I),
  _xlfn.IFNA(_xlfn.XLOOKUP($G39, database!$D:$D, database!$I:$I), "")))) &amp; ""
)</f>
        <v>#VALUE!</v>
      </c>
      <c r="I39" s="87" t="e" vm="1">
        <f>IF(AND($F39="", $G39=""), "",
  _xlfn.IFNA(_xlfn.XLOOKUP($F39, database!$C:$C, database!$J:$J),
  _xlfn.IFNA(_xlfn.XLOOKUP($F39, database!$D:$D, database!$J:$J),
  _xlfn.IFNA(_xlfn.XLOOKUP($G39, database!$C:$C, database!$J:$J),
  _xlfn.IFNA(_xlfn.XLOOKUP($G39, database!$D:$D, database!$J:$J), "")))) &amp; ""
)</f>
        <v>#VALUE!</v>
      </c>
      <c r="J39" s="87" t="e" vm="1">
        <f>IF(AND($F39="", $G39=""), "",
  _xlfn.IFNA(_xlfn.XLOOKUP($F39, database!$C:$C, database!$E:$E),
  _xlfn.IFNA(_xlfn.XLOOKUP($F39, database!$D:$D, database!$E:$E),
  _xlfn.IFNA(_xlfn.XLOOKUP($G39, database!$C:$C, database!$E:$E),
  _xlfn.IFNA(_xlfn.XLOOKUP($G39, database!$D:$D, database!$E:$E), ""))))
)</f>
        <v>#VALUE!</v>
      </c>
      <c r="K39" s="87" t="e" vm="1">
        <f>IF(AND($F39="", $G39=""), "",
  _xlfn.IFNA(_xlfn.XLOOKUP($F39, database!$C:$C, database!$K:$K),
  _xlfn.IFNA(_xlfn.XLOOKUP($F39, database!$D:$D, database!$K:$K),
  _xlfn.IFNA(_xlfn.XLOOKUP($G39, database!$C:$C, database!$K:$K),
  _xlfn.IFNA(_xlfn.XLOOKUP($G39, database!$D:$D, database!$K:$K), "")))) &amp; ""
)</f>
        <v>#VALUE!</v>
      </c>
      <c r="L39" s="165" t="e" vm="1">
        <f>IF(AND($F39="", $G39=""), "",
  _xlfn.IFNA(_xlfn.XLOOKUP($F39, database!$C:$C, database!$F:$F),
  _xlfn.IFNA(_xlfn.XLOOKUP($F39, database!$D:$D, database!$F:$F),
  _xlfn.IFNA(_xlfn.XLOOKUP($G39, database!$C:$C, database!$F:$F),
  _xlfn.IFNA(_xlfn.XLOOKUP($G39, database!$D:$D, database!$F:$F), "")))) &amp; ""
)</f>
        <v>#VALUE!</v>
      </c>
      <c r="M39" s="105" t="e" vm="1">
        <f>IF(AND($F39="", $G39=""), "",
  _xlfn.IFNA(_xlfn.XLOOKUP($F39, database!$C:$C, database!$G:$G),
  _xlfn.IFNA(_xlfn.XLOOKUP($F39, database!$D:$D, database!$G:$G),
  _xlfn.IFNA(_xlfn.XLOOKUP($G39, database!$C:$C, database!$G:$G),
  _xlfn.IFNA(_xlfn.XLOOKUP($G39, database!$D:$D, database!$G:$G), "")))) &amp; ""
)</f>
        <v>#VALUE!</v>
      </c>
      <c r="N39" t="e" vm="1">
        <f>IF(AND($F39="", $G39=""), "",
   IF(OR(
        IF($F39&lt;&gt;"", COUNTIF(ringfence!A$2:A$10000, "*"&amp;$F39&amp;"*"), 0)&gt;0,
        IF($G39&lt;&gt;"", COUNTIF(ringfence!A$2:A$10000, "*"&amp;$G39&amp;"*"), 0)&gt;0
   ),
   "Yes", "No")
)</f>
        <v>#VALUE!</v>
      </c>
      <c r="O39" t="e" vm="1">
        <f>IF(AND($F39="", $G39=""), "",
   IF(OR(
        IF($F39&lt;&gt;"", COUNTIF(ringfence!B$2:B$10000, "*"&amp;$F39&amp;"*"), 0)&gt;0,
        IF($G39&lt;&gt;"", COUNTIF(ringfence!B$2:B$10000, "*"&amp;$G39&amp;"*"), 0)&gt;0
   ),
   "Yes", "No")
)</f>
        <v>#VALUE!</v>
      </c>
      <c r="P39" t="e" vm="1">
        <f>IF(AND($F39="", $G39=""), "",
   IF(OR(
        IF($F39&lt;&gt;"", COUNTIF(ringfence!C$2:C$10000, "*"&amp;$F39&amp;"*"), 0)&gt;0,
        IF($G39&lt;&gt;"", COUNTIF(ringfence!C$2:C$10000, "*"&amp;$G39&amp;"*"), 0)&gt;0
   ),
   "Yes", "No")
)</f>
        <v>#VALUE!</v>
      </c>
      <c r="Q39" t="e" vm="1">
        <f>IF(AND($F39="", $G39=""), "",
   IF(OR(
        IF($F39&lt;&gt;"", COUNTIF(ringfence!D$2:D$10000, "*"&amp;$F39&amp;"*"), 0)&gt;0,
        IF($G39&lt;&gt;"", COUNTIF(ringfence!D$2:D$10000, "*"&amp;$G39&amp;"*"), 0)&gt;0
   ),
   "Yes", "No")
)</f>
        <v>#VALUE!</v>
      </c>
      <c r="R39" t="e" vm="1">
        <f>IF(AND($F39="", $G39=""), "",
   IF(OR(
        IF($F39&lt;&gt;"", COUNTIF(ringfence!E$2:E$10000, "*"&amp;$F39&amp;"*"), 0)&gt;0,
        IF($G39&lt;&gt;"", COUNTIF(ringfence!E$2:E$10000, "*"&amp;$G39&amp;"*"), 0)&gt;0
   ),
   "Yes", "No")
)</f>
        <v>#VALUE!</v>
      </c>
      <c r="S39" s="87" t="str" cm="1">
        <f t="array" ref="S39">_xlfn.IFS(
    B39="1对1", "1x1",
    B39="1对2", "1x2",
    B39="小组会议", "小组会议",
    TRUE, B39
)</f>
        <v>1x1</v>
      </c>
      <c r="T39" s="32" t="e" vm="1">
        <f t="shared" si="2"/>
        <v>#VALUE!</v>
      </c>
    </row>
    <row r="40" spans="1:20" ht="81" customHeight="1">
      <c r="A40" s="87" t="s">
        <v>551</v>
      </c>
      <c r="B40" s="88" t="s">
        <v>239</v>
      </c>
      <c r="C40" s="89" t="s">
        <v>240</v>
      </c>
      <c r="D40" s="89" t="s">
        <v>241</v>
      </c>
      <c r="E40" s="94" t="s">
        <v>272</v>
      </c>
      <c r="F40" s="87" t="e" cm="1" vm="2">
        <f t="array" ref="F40">IF(E40="","",
_xlfn._xlws.FILTER(
    IF(CompanyName1[]="","",CompanyName1[]),
    (ISNUMBER(SEARCH(E40,CompanyName1[机构名称（英文）]&amp;"")) +
     ISNUMBER(SEARCH(E40,CompanyName1[机构名称（中文）]&amp;"")))&gt;0
))</f>
        <v>#VALUE!</v>
      </c>
      <c r="G40" s="87"/>
      <c r="H40" s="90" t="e" vm="1">
        <f>IF(AND($F40="", $G40=""), "",
  _xlfn.IFNA(_xlfn.XLOOKUP($F40, database!$C:$C, database!$I:$I),
  _xlfn.IFNA(_xlfn.XLOOKUP($F40, database!$D:$D, database!$I:$I),
  _xlfn.IFNA(_xlfn.XLOOKUP($G40, database!$C:$C, database!$I:$I),
  _xlfn.IFNA(_xlfn.XLOOKUP($G40, database!$D:$D, database!$I:$I), "")))) &amp; ""
)</f>
        <v>#VALUE!</v>
      </c>
      <c r="I40" s="87" t="e" vm="1">
        <f>IF(AND($F40="", $G40=""), "",
  _xlfn.IFNA(_xlfn.XLOOKUP($F40, database!$C:$C, database!$J:$J),
  _xlfn.IFNA(_xlfn.XLOOKUP($F40, database!$D:$D, database!$J:$J),
  _xlfn.IFNA(_xlfn.XLOOKUP($G40, database!$C:$C, database!$J:$J),
  _xlfn.IFNA(_xlfn.XLOOKUP($G40, database!$D:$D, database!$J:$J), "")))) &amp; ""
)</f>
        <v>#VALUE!</v>
      </c>
      <c r="J40" s="87" t="e" vm="1">
        <f>IF(AND($F40="", $G40=""), "",
  _xlfn.IFNA(_xlfn.XLOOKUP($F40, database!$C:$C, database!$E:$E),
  _xlfn.IFNA(_xlfn.XLOOKUP($F40, database!$D:$D, database!$E:$E),
  _xlfn.IFNA(_xlfn.XLOOKUP($G40, database!$C:$C, database!$E:$E),
  _xlfn.IFNA(_xlfn.XLOOKUP($G40, database!$D:$D, database!$E:$E), ""))))
)</f>
        <v>#VALUE!</v>
      </c>
      <c r="K40" s="87" t="e" vm="1">
        <f>IF(AND($F40="", $G40=""), "",
  _xlfn.IFNA(_xlfn.XLOOKUP($F40, database!$C:$C, database!$K:$K),
  _xlfn.IFNA(_xlfn.XLOOKUP($F40, database!$D:$D, database!$K:$K),
  _xlfn.IFNA(_xlfn.XLOOKUP($G40, database!$C:$C, database!$K:$K),
  _xlfn.IFNA(_xlfn.XLOOKUP($G40, database!$D:$D, database!$K:$K), "")))) &amp; ""
)</f>
        <v>#VALUE!</v>
      </c>
      <c r="L40" s="165" t="e" vm="1">
        <f>IF(AND($F40="", $G40=""), "",
  _xlfn.IFNA(_xlfn.XLOOKUP($F40, database!$C:$C, database!$F:$F),
  _xlfn.IFNA(_xlfn.XLOOKUP($F40, database!$D:$D, database!$F:$F),
  _xlfn.IFNA(_xlfn.XLOOKUP($G40, database!$C:$C, database!$F:$F),
  _xlfn.IFNA(_xlfn.XLOOKUP($G40, database!$D:$D, database!$F:$F), "")))) &amp; ""
)</f>
        <v>#VALUE!</v>
      </c>
      <c r="M40" s="105" t="e" vm="1">
        <f>IF(AND($F40="", $G40=""), "",
  _xlfn.IFNA(_xlfn.XLOOKUP($F40, database!$C:$C, database!$G:$G),
  _xlfn.IFNA(_xlfn.XLOOKUP($F40, database!$D:$D, database!$G:$G),
  _xlfn.IFNA(_xlfn.XLOOKUP($G40, database!$C:$C, database!$G:$G),
  _xlfn.IFNA(_xlfn.XLOOKUP($G40, database!$D:$D, database!$G:$G), "")))) &amp; ""
)</f>
        <v>#VALUE!</v>
      </c>
      <c r="N40" t="e" vm="1">
        <f>IF(AND($F40="", $G40=""), "",
   IF(OR(
        IF($F40&lt;&gt;"", COUNTIF(ringfence!A$2:A$10000, "*"&amp;$F40&amp;"*"), 0)&gt;0,
        IF($G40&lt;&gt;"", COUNTIF(ringfence!A$2:A$10000, "*"&amp;$G40&amp;"*"), 0)&gt;0
   ),
   "Yes", "No")
)</f>
        <v>#VALUE!</v>
      </c>
      <c r="O40" t="e" vm="1">
        <f>IF(AND($F40="", $G40=""), "",
   IF(OR(
        IF($F40&lt;&gt;"", COUNTIF(ringfence!B$2:B$10000, "*"&amp;$F40&amp;"*"), 0)&gt;0,
        IF($G40&lt;&gt;"", COUNTIF(ringfence!B$2:B$10000, "*"&amp;$G40&amp;"*"), 0)&gt;0
   ),
   "Yes", "No")
)</f>
        <v>#VALUE!</v>
      </c>
      <c r="P40" t="e" vm="1">
        <f>IF(AND($F40="", $G40=""), "",
   IF(OR(
        IF($F40&lt;&gt;"", COUNTIF(ringfence!C$2:C$10000, "*"&amp;$F40&amp;"*"), 0)&gt;0,
        IF($G40&lt;&gt;"", COUNTIF(ringfence!C$2:C$10000, "*"&amp;$G40&amp;"*"), 0)&gt;0
   ),
   "Yes", "No")
)</f>
        <v>#VALUE!</v>
      </c>
      <c r="Q40" t="e" vm="1">
        <f>IF(AND($F40="", $G40=""), "",
   IF(OR(
        IF($F40&lt;&gt;"", COUNTIF(ringfence!D$2:D$10000, "*"&amp;$F40&amp;"*"), 0)&gt;0,
        IF($G40&lt;&gt;"", COUNTIF(ringfence!D$2:D$10000, "*"&amp;$G40&amp;"*"), 0)&gt;0
   ),
   "Yes", "No")
)</f>
        <v>#VALUE!</v>
      </c>
      <c r="R40" t="e" vm="1">
        <f>IF(AND($F40="", $G40=""), "",
   IF(OR(
        IF($F40&lt;&gt;"", COUNTIF(ringfence!E$2:E$10000, "*"&amp;$F40&amp;"*"), 0)&gt;0,
        IF($G40&lt;&gt;"", COUNTIF(ringfence!E$2:E$10000, "*"&amp;$G40&amp;"*"), 0)&gt;0
   ),
   "Yes", "No")
)</f>
        <v>#VALUE!</v>
      </c>
      <c r="S40" s="87" t="str" cm="1">
        <f t="array" ref="S40">_xlfn.IFS(
    B40="1对1", "1x1",
    B40="1对2", "1x2",
    B40="小组会议", "小组会议",
    TRUE, B40
)</f>
        <v>1x1</v>
      </c>
      <c r="T40" s="32" t="e" vm="1">
        <f t="shared" si="2"/>
        <v>#VALUE!</v>
      </c>
    </row>
    <row r="41" spans="1:20" ht="68">
      <c r="A41" s="87" t="s">
        <v>552</v>
      </c>
      <c r="B41" s="88" t="s">
        <v>239</v>
      </c>
      <c r="C41" s="89" t="s">
        <v>240</v>
      </c>
      <c r="D41" s="89" t="s">
        <v>241</v>
      </c>
      <c r="E41" s="104" t="s">
        <v>689</v>
      </c>
      <c r="F41" s="87" t="e" cm="1" vm="2">
        <f t="array" ref="F41">IF(E41="","",
_xlfn._xlws.FILTER(
    IF(CompanyName1[]="","",CompanyName1[]),
    (ISNUMBER(SEARCH(E41,CompanyName1[机构名称（英文）]&amp;"")) +
     ISNUMBER(SEARCH(E41,CompanyName1[机构名称（中文）]&amp;"")))&gt;0
))</f>
        <v>#VALUE!</v>
      </c>
      <c r="G41" s="87"/>
      <c r="H41" s="90" t="e" vm="1">
        <f>IF(AND($F41="", $G41=""), "",
  _xlfn.IFNA(_xlfn.XLOOKUP($F41, database!$C:$C, database!$I:$I),
  _xlfn.IFNA(_xlfn.XLOOKUP($F41, database!$D:$D, database!$I:$I),
  _xlfn.IFNA(_xlfn.XLOOKUP($G41, database!$C:$C, database!$I:$I),
  _xlfn.IFNA(_xlfn.XLOOKUP($G41, database!$D:$D, database!$I:$I), "")))) &amp; ""
)</f>
        <v>#VALUE!</v>
      </c>
      <c r="I41" s="87" t="e" vm="1">
        <f>IF(AND($F41="", $G41=""), "",
  _xlfn.IFNA(_xlfn.XLOOKUP($F41, database!$C:$C, database!$J:$J),
  _xlfn.IFNA(_xlfn.XLOOKUP($F41, database!$D:$D, database!$J:$J),
  _xlfn.IFNA(_xlfn.XLOOKUP($G41, database!$C:$C, database!$J:$J),
  _xlfn.IFNA(_xlfn.XLOOKUP($G41, database!$D:$D, database!$J:$J), "")))) &amp; ""
)</f>
        <v>#VALUE!</v>
      </c>
      <c r="J41" s="87" t="e" vm="1">
        <f>IF(AND($F41="", $G41=""), "",
  _xlfn.IFNA(_xlfn.XLOOKUP($F41, database!$C:$C, database!$E:$E),
  _xlfn.IFNA(_xlfn.XLOOKUP($F41, database!$D:$D, database!$E:$E),
  _xlfn.IFNA(_xlfn.XLOOKUP($G41, database!$C:$C, database!$E:$E),
  _xlfn.IFNA(_xlfn.XLOOKUP($G41, database!$D:$D, database!$E:$E), ""))))
)</f>
        <v>#VALUE!</v>
      </c>
      <c r="K41" s="87" t="e" vm="1">
        <f>IF(AND($F41="", $G41=""), "",
  _xlfn.IFNA(_xlfn.XLOOKUP($F41, database!$C:$C, database!$K:$K),
  _xlfn.IFNA(_xlfn.XLOOKUP($F41, database!$D:$D, database!$K:$K),
  _xlfn.IFNA(_xlfn.XLOOKUP($G41, database!$C:$C, database!$K:$K),
  _xlfn.IFNA(_xlfn.XLOOKUP($G41, database!$D:$D, database!$K:$K), "")))) &amp; ""
)</f>
        <v>#VALUE!</v>
      </c>
      <c r="L41" s="165" t="e" vm="1">
        <f>IF(AND($F41="", $G41=""), "",
  _xlfn.IFNA(_xlfn.XLOOKUP($F41, database!$C:$C, database!$F:$F),
  _xlfn.IFNA(_xlfn.XLOOKUP($F41, database!$D:$D, database!$F:$F),
  _xlfn.IFNA(_xlfn.XLOOKUP($G41, database!$C:$C, database!$F:$F),
  _xlfn.IFNA(_xlfn.XLOOKUP($G41, database!$D:$D, database!$F:$F), "")))) &amp; ""
)</f>
        <v>#VALUE!</v>
      </c>
      <c r="M41" s="105" t="e" vm="1">
        <f>IF(AND($F41="", $G41=""), "",
  _xlfn.IFNA(_xlfn.XLOOKUP($F41, database!$C:$C, database!$G:$G),
  _xlfn.IFNA(_xlfn.XLOOKUP($F41, database!$D:$D, database!$G:$G),
  _xlfn.IFNA(_xlfn.XLOOKUP($G41, database!$C:$C, database!$G:$G),
  _xlfn.IFNA(_xlfn.XLOOKUP($G41, database!$D:$D, database!$G:$G), "")))) &amp; ""
)</f>
        <v>#VALUE!</v>
      </c>
      <c r="N41" t="e" vm="1">
        <f>IF(AND($F41="", $G41=""), "",
   IF(OR(
        IF($F41&lt;&gt;"", COUNTIF(ringfence!A$2:A$10000, "*"&amp;$F41&amp;"*"), 0)&gt;0,
        IF($G41&lt;&gt;"", COUNTIF(ringfence!A$2:A$10000, "*"&amp;$G41&amp;"*"), 0)&gt;0
   ),
   "Yes", "No")
)</f>
        <v>#VALUE!</v>
      </c>
      <c r="O41" t="e" vm="1">
        <f>IF(AND($F41="", $G41=""), "",
   IF(OR(
        IF($F41&lt;&gt;"", COUNTIF(ringfence!B$2:B$10000, "*"&amp;$F41&amp;"*"), 0)&gt;0,
        IF($G41&lt;&gt;"", COUNTIF(ringfence!B$2:B$10000, "*"&amp;$G41&amp;"*"), 0)&gt;0
   ),
   "Yes", "No")
)</f>
        <v>#VALUE!</v>
      </c>
      <c r="P41" t="e" vm="1">
        <f>IF(AND($F41="", $G41=""), "",
   IF(OR(
        IF($F41&lt;&gt;"", COUNTIF(ringfence!C$2:C$10000, "*"&amp;$F41&amp;"*"), 0)&gt;0,
        IF($G41&lt;&gt;"", COUNTIF(ringfence!C$2:C$10000, "*"&amp;$G41&amp;"*"), 0)&gt;0
   ),
   "Yes", "No")
)</f>
        <v>#VALUE!</v>
      </c>
      <c r="Q41" t="e" vm="1">
        <f>IF(AND($F41="", $G41=""), "",
   IF(OR(
        IF($F41&lt;&gt;"", COUNTIF(ringfence!D$2:D$10000, "*"&amp;$F41&amp;"*"), 0)&gt;0,
        IF($G41&lt;&gt;"", COUNTIF(ringfence!D$2:D$10000, "*"&amp;$G41&amp;"*"), 0)&gt;0
   ),
   "Yes", "No")
)</f>
        <v>#VALUE!</v>
      </c>
      <c r="R41" t="e" vm="1">
        <f>IF(AND($F41="", $G41=""), "",
   IF(OR(
        IF($F41&lt;&gt;"", COUNTIF(ringfence!E$2:E$10000, "*"&amp;$F41&amp;"*"), 0)&gt;0,
        IF($G41&lt;&gt;"", COUNTIF(ringfence!E$2:E$10000, "*"&amp;$G41&amp;"*"), 0)&gt;0
   ),
   "Yes", "No")
)</f>
        <v>#VALUE!</v>
      </c>
      <c r="S41" s="87" t="str" cm="1">
        <f t="array" ref="S41">_xlfn.IFS(
    B41="1对1", "1x1",
    B41="1对2", "1x2",
    B41="小组会议", "小组会议",
    TRUE, B41
)</f>
        <v>1x1</v>
      </c>
      <c r="T41" s="32" t="e" vm="1">
        <f t="shared" si="2"/>
        <v>#VALUE!</v>
      </c>
    </row>
    <row r="42" spans="1:20" ht="30.25" customHeight="1">
      <c r="A42" s="87"/>
      <c r="B42" s="88"/>
      <c r="C42" s="89"/>
      <c r="D42" s="89"/>
      <c r="E42" s="104" t="s">
        <v>693</v>
      </c>
      <c r="F42" s="87" t="e" cm="1" vm="2">
        <f t="array" ref="F42">IF(E42="","",
_xlfn._xlws.FILTER(
    IF(CompanyName1[]="","",CompanyName1[]),
    (ISNUMBER(SEARCH(E42,CompanyName1[机构名称（英文）]&amp;"")) +
     ISNUMBER(SEARCH(E42,CompanyName1[机构名称（中文）]&amp;"")))&gt;0
))</f>
        <v>#VALUE!</v>
      </c>
      <c r="G42" s="87"/>
      <c r="H42" s="90" t="e" vm="1">
        <f>IF(AND($F42="", $G42=""), "",
  _xlfn.IFNA(_xlfn.XLOOKUP($F42, database!$C:$C, database!$I:$I),
  _xlfn.IFNA(_xlfn.XLOOKUP($F42, database!$D:$D, database!$I:$I),
  _xlfn.IFNA(_xlfn.XLOOKUP($G42, database!$C:$C, database!$I:$I),
  _xlfn.IFNA(_xlfn.XLOOKUP($G42, database!$D:$D, database!$I:$I), "")))) &amp; ""
)</f>
        <v>#VALUE!</v>
      </c>
      <c r="I42" s="87" t="e" vm="1">
        <f>IF(AND($F42="", $G42=""), "",
  _xlfn.IFNA(_xlfn.XLOOKUP($F42, database!$C:$C, database!$J:$J),
  _xlfn.IFNA(_xlfn.XLOOKUP($F42, database!$D:$D, database!$J:$J),
  _xlfn.IFNA(_xlfn.XLOOKUP($G42, database!$C:$C, database!$J:$J),
  _xlfn.IFNA(_xlfn.XLOOKUP($G42, database!$D:$D, database!$J:$J), "")))) &amp; ""
)</f>
        <v>#VALUE!</v>
      </c>
      <c r="J42" s="87" t="e" vm="1">
        <f>IF(AND($F42="", $G42=""), "",
  _xlfn.IFNA(_xlfn.XLOOKUP($F42, database!$C:$C, database!$E:$E),
  _xlfn.IFNA(_xlfn.XLOOKUP($F42, database!$D:$D, database!$E:$E),
  _xlfn.IFNA(_xlfn.XLOOKUP($G42, database!$C:$C, database!$E:$E),
  _xlfn.IFNA(_xlfn.XLOOKUP($G42, database!$D:$D, database!$E:$E), ""))))
)</f>
        <v>#VALUE!</v>
      </c>
      <c r="K42" s="87" t="e" vm="1">
        <f>IF(AND($F42="", $G42=""), "",
  _xlfn.IFNA(_xlfn.XLOOKUP($F42, database!$C:$C, database!$K:$K),
  _xlfn.IFNA(_xlfn.XLOOKUP($F42, database!$D:$D, database!$K:$K),
  _xlfn.IFNA(_xlfn.XLOOKUP($G42, database!$C:$C, database!$K:$K),
  _xlfn.IFNA(_xlfn.XLOOKUP($G42, database!$D:$D, database!$K:$K), "")))) &amp; ""
)</f>
        <v>#VALUE!</v>
      </c>
      <c r="L42" s="165" t="e" vm="1">
        <f>IF(AND($F42="", $G42=""), "",
  _xlfn.IFNA(_xlfn.XLOOKUP($F42, database!$C:$C, database!$F:$F),
  _xlfn.IFNA(_xlfn.XLOOKUP($F42, database!$D:$D, database!$F:$F),
  _xlfn.IFNA(_xlfn.XLOOKUP($G42, database!$C:$C, database!$F:$F),
  _xlfn.IFNA(_xlfn.XLOOKUP($G42, database!$D:$D, database!$F:$F), "")))) &amp; ""
)</f>
        <v>#VALUE!</v>
      </c>
      <c r="M42" s="105" t="e" vm="1">
        <f>IF(AND($F42="", $G42=""), "",
  _xlfn.IFNA(_xlfn.XLOOKUP($F42, database!$C:$C, database!$G:$G),
  _xlfn.IFNA(_xlfn.XLOOKUP($F42, database!$D:$D, database!$G:$G),
  _xlfn.IFNA(_xlfn.XLOOKUP($G42, database!$C:$C, database!$G:$G),
  _xlfn.IFNA(_xlfn.XLOOKUP($G42, database!$D:$D, database!$G:$G), "")))) &amp; ""
)</f>
        <v>#VALUE!</v>
      </c>
      <c r="N42" t="e" vm="1">
        <f>IF(AND($F42="", $G42=""), "",
   IF(OR(
        IF($F42&lt;&gt;"", COUNTIF(ringfence!A$2:A$10000, "*"&amp;$F42&amp;"*"), 0)&gt;0,
        IF($G42&lt;&gt;"", COUNTIF(ringfence!A$2:A$10000, "*"&amp;$G42&amp;"*"), 0)&gt;0
   ),
   "Yes", "No")
)</f>
        <v>#VALUE!</v>
      </c>
      <c r="O42" t="e" vm="1">
        <f>IF(AND($F42="", $G42=""), "",
   IF(OR(
        IF($F42&lt;&gt;"", COUNTIF(ringfence!B$2:B$10000, "*"&amp;$F42&amp;"*"), 0)&gt;0,
        IF($G42&lt;&gt;"", COUNTIF(ringfence!B$2:B$10000, "*"&amp;$G42&amp;"*"), 0)&gt;0
   ),
   "Yes", "No")
)</f>
        <v>#VALUE!</v>
      </c>
      <c r="P42" t="e" vm="1">
        <f>IF(AND($F42="", $G42=""), "",
   IF(OR(
        IF($F42&lt;&gt;"", COUNTIF(ringfence!C$2:C$10000, "*"&amp;$F42&amp;"*"), 0)&gt;0,
        IF($G42&lt;&gt;"", COUNTIF(ringfence!C$2:C$10000, "*"&amp;$G42&amp;"*"), 0)&gt;0
   ),
   "Yes", "No")
)</f>
        <v>#VALUE!</v>
      </c>
      <c r="Q42" t="e" vm="1">
        <f>IF(AND($F42="", $G42=""), "",
   IF(OR(
        IF($F42&lt;&gt;"", COUNTIF(ringfence!D$2:D$10000, "*"&amp;$F42&amp;"*"), 0)&gt;0,
        IF($G42&lt;&gt;"", COUNTIF(ringfence!D$2:D$10000, "*"&amp;$G42&amp;"*"), 0)&gt;0
   ),
   "Yes", "No")
)</f>
        <v>#VALUE!</v>
      </c>
      <c r="R42" t="e" vm="1">
        <f>IF(AND($F42="", $G42=""), "",
   IF(OR(
        IF($F42&lt;&gt;"", COUNTIF(ringfence!E$2:E$10000, "*"&amp;$F42&amp;"*"), 0)&gt;0,
        IF($G42&lt;&gt;"", COUNTIF(ringfence!E$2:E$10000, "*"&amp;$G42&amp;"*"), 0)&gt;0
   ),
   "Yes", "No")
)</f>
        <v>#VALUE!</v>
      </c>
      <c r="S42" s="87" cm="1">
        <f t="array" ref="S42">_xlfn.IFS(
    B42="1对1", "1x1",
    B42="1对2", "1x2",
    B42="小组会议", "小组会议",
    TRUE, B42
)</f>
        <v>0</v>
      </c>
      <c r="T42" s="32" t="e" vm="1">
        <f t="shared" si="2"/>
        <v>#VALUE!</v>
      </c>
    </row>
    <row r="43" spans="1:20" ht="19" customHeight="1">
      <c r="Q43" s="162"/>
      <c r="S43" s="87"/>
    </row>
    <row r="44" spans="1:20" ht="30.25" customHeight="1">
      <c r="A44" s="73" t="s">
        <v>247</v>
      </c>
      <c r="Q44" s="14"/>
      <c r="S44" s="87"/>
    </row>
    <row r="45" spans="1:20" ht="30.25" customHeight="1">
      <c r="A45" s="96" t="s">
        <v>100</v>
      </c>
      <c r="B45" s="92">
        <v>46163</v>
      </c>
      <c r="C45" s="33"/>
      <c r="Q45" s="14"/>
      <c r="S45" s="87"/>
    </row>
    <row r="46" spans="1:20" ht="20" customHeight="1">
      <c r="A46" s="97" t="s">
        <v>101</v>
      </c>
      <c r="B46" s="86" t="s">
        <v>504</v>
      </c>
      <c r="C46" s="33"/>
      <c r="D46" s="33"/>
      <c r="E46" s="33"/>
      <c r="F46" s="33"/>
      <c r="G46" s="33"/>
      <c r="Q46" s="14"/>
      <c r="S46" s="87"/>
    </row>
    <row r="47" spans="1:20" ht="30.25" customHeight="1">
      <c r="A47" s="85" t="s">
        <v>230</v>
      </c>
      <c r="B47" s="85" t="s">
        <v>363</v>
      </c>
      <c r="C47" s="85" t="s">
        <v>364</v>
      </c>
      <c r="D47" s="85" t="s">
        <v>365</v>
      </c>
      <c r="E47" s="100" t="s">
        <v>366</v>
      </c>
      <c r="F47" s="85" t="s">
        <v>355</v>
      </c>
      <c r="G47" s="85" t="s">
        <v>356</v>
      </c>
      <c r="H47" s="85" t="s">
        <v>234</v>
      </c>
      <c r="I47" s="85" t="s">
        <v>235</v>
      </c>
      <c r="J47" s="85" t="s">
        <v>236</v>
      </c>
      <c r="K47" s="85" t="s">
        <v>237</v>
      </c>
      <c r="L47" s="85" t="s">
        <v>238</v>
      </c>
      <c r="M47" s="85" t="s">
        <v>367</v>
      </c>
      <c r="N47" s="85" t="str">
        <f>"In " &amp;ringfence!A$1&amp; " ringfence?"</f>
        <v>In CMS ringfence?</v>
      </c>
      <c r="O47" s="85" t="str">
        <f>"In " &amp;ringfence!B$1&amp; " ringfence?"</f>
        <v>In 银河 ringfence?</v>
      </c>
      <c r="P47" s="85" t="str">
        <f>"In " &amp;ringfence!C$1&amp; " ringfence?"</f>
        <v>In Bank3 ringfence?</v>
      </c>
      <c r="Q47" s="85" t="str">
        <f>"In " &amp;ringfence!D$1&amp; " ringfence?"</f>
        <v>In Bank4 ringfence?</v>
      </c>
      <c r="R47" s="85" t="str">
        <f>"In " &amp;ringfence!E$1&amp; " ringfence?"</f>
        <v>In Bank5 ringfence?</v>
      </c>
      <c r="S47" s="87" t="s">
        <v>493</v>
      </c>
      <c r="T47" s="87" t="s">
        <v>493</v>
      </c>
    </row>
    <row r="48" spans="1:20" ht="119">
      <c r="A48" s="87" t="s">
        <v>505</v>
      </c>
      <c r="B48" s="88" t="s">
        <v>239</v>
      </c>
      <c r="C48" s="89" t="s">
        <v>240</v>
      </c>
      <c r="D48" s="89" t="s">
        <v>241</v>
      </c>
      <c r="E48" s="97" t="s">
        <v>694</v>
      </c>
      <c r="F48" s="87" t="e" cm="1" vm="2">
        <f t="array" ref="F48">IF(E48="","",
_xlfn._xlws.FILTER(
    IF(CompanyName1[]="","",CompanyName1[]),
    (ISNUMBER(SEARCH(E48,CompanyName1[机构名称（英文）]&amp;"")) +
     ISNUMBER(SEARCH(E48,CompanyName1[机构名称（中文）]&amp;"")))&gt;0
))</f>
        <v>#VALUE!</v>
      </c>
      <c r="G48" s="87"/>
      <c r="H48" s="90" t="e" vm="1">
        <f>IF(AND($F48="", $G48=""), "",
  _xlfn.IFNA(_xlfn.XLOOKUP($F48, database!$C:$C, database!$I:$I),
  _xlfn.IFNA(_xlfn.XLOOKUP($F48, database!$D:$D, database!$I:$I),
  _xlfn.IFNA(_xlfn.XLOOKUP($G48, database!$C:$C, database!$I:$I),
  _xlfn.IFNA(_xlfn.XLOOKUP($G48, database!$D:$D, database!$I:$I), "")))) &amp; ""
)</f>
        <v>#VALUE!</v>
      </c>
      <c r="I48" s="87" t="e" vm="1">
        <f>IF(AND($F48="", $G48=""), "",
  _xlfn.IFNA(_xlfn.XLOOKUP($F48, database!$C:$C, database!$J:$J),
  _xlfn.IFNA(_xlfn.XLOOKUP($F48, database!$D:$D, database!$J:$J),
  _xlfn.IFNA(_xlfn.XLOOKUP($G48, database!$C:$C, database!$J:$J),
  _xlfn.IFNA(_xlfn.XLOOKUP($G48, database!$D:$D, database!$J:$J), "")))) &amp; ""
)</f>
        <v>#VALUE!</v>
      </c>
      <c r="J48" s="87" t="str">
        <f>IF($G48="","",
   _xlfn.IFNA(
      _xlfn.XLOOKUP($G48, database!$C:$C, database!$E:$E) &amp; "",
      _xlfn.XLOOKUP($G48, database!$D:$D, database!$E:$E, "") &amp; ""
   )
)</f>
        <v/>
      </c>
      <c r="K48" s="87" t="e" vm="1">
        <f>IF(AND($F48="", $G48=""), "",
  _xlfn.IFNA(_xlfn.XLOOKUP($F48, database!$C:$C, database!$K:$K),
  _xlfn.IFNA(_xlfn.XLOOKUP($F48, database!$D:$D, database!$K:$K),
  _xlfn.IFNA(_xlfn.XLOOKUP($G48, database!$C:$C, database!$K:$K),
  _xlfn.IFNA(_xlfn.XLOOKUP($G48, database!$D:$D, database!$K:$K), "")))) &amp; ""
)</f>
        <v>#VALUE!</v>
      </c>
      <c r="L48" s="165" t="e" vm="1">
        <f>IF(AND($F48="", $G48=""), "",
  _xlfn.IFNA(_xlfn.XLOOKUP($F48, database!$C:$C, database!$F:$F),
  _xlfn.IFNA(_xlfn.XLOOKUP($F48, database!$D:$D, database!$F:$F),
  _xlfn.IFNA(_xlfn.XLOOKUP($G48, database!$C:$C, database!$F:$F),
  _xlfn.IFNA(_xlfn.XLOOKUP($G48, database!$D:$D, database!$F:$F), "")))) &amp; ""
)</f>
        <v>#VALUE!</v>
      </c>
      <c r="M48" s="105" t="e" vm="1">
        <f>IF(AND($F48="", $G48=""), "",
  _xlfn.IFNA(_xlfn.XLOOKUP($F48, database!$C:$C, database!$G:$G),
  _xlfn.IFNA(_xlfn.XLOOKUP($F48, database!$D:$D, database!$G:$G),
  _xlfn.IFNA(_xlfn.XLOOKUP($G48, database!$C:$C, database!$G:$G),
  _xlfn.IFNA(_xlfn.XLOOKUP($G48, database!$D:$D, database!$G:$G), "")))) &amp; ""
)</f>
        <v>#VALUE!</v>
      </c>
      <c r="N48" t="e" vm="1">
        <f>IF(AND($F48="", $G48=""), "",
   IF(OR(
        IF($F48&lt;&gt;"", COUNTIF(ringfence!A$2:A$10000, "*"&amp;$F48&amp;"*"), 0)&gt;0,
        IF($G48&lt;&gt;"", COUNTIF(ringfence!A$2:A$10000, "*"&amp;$G48&amp;"*"), 0)&gt;0
   ),
   "Yes", "No")
)</f>
        <v>#VALUE!</v>
      </c>
      <c r="O48" t="e" vm="1">
        <f>IF(AND($F48="", $G48=""), "",
   IF(OR(
        IF($F48&lt;&gt;"", COUNTIF(ringfence!B$2:B$10000, "*"&amp;$F48&amp;"*"), 0)&gt;0,
        IF($G48&lt;&gt;"", COUNTIF(ringfence!B$2:B$10000, "*"&amp;$G48&amp;"*"), 0)&gt;0
   ),
   "Yes", "No")
)</f>
        <v>#VALUE!</v>
      </c>
      <c r="P48" t="e" vm="1">
        <f>IF(AND($F48="", $G48=""), "",
   IF(OR(
        IF($F48&lt;&gt;"", COUNTIF(ringfence!C$2:C$10000, "*"&amp;$F48&amp;"*"), 0)&gt;0,
        IF($G48&lt;&gt;"", COUNTIF(ringfence!C$2:C$10000, "*"&amp;$G48&amp;"*"), 0)&gt;0
   ),
   "Yes", "No")
)</f>
        <v>#VALUE!</v>
      </c>
      <c r="Q48" t="e" vm="1">
        <f>IF(AND($F48="", $G48=""), "",
   IF(OR(
        IF($F48&lt;&gt;"", COUNTIF(ringfence!D$2:D$10000, "*"&amp;$F48&amp;"*"), 0)&gt;0,
        IF($G48&lt;&gt;"", COUNTIF(ringfence!D$2:D$10000, "*"&amp;$G48&amp;"*"), 0)&gt;0
   ),
   "Yes", "No")
)</f>
        <v>#VALUE!</v>
      </c>
      <c r="R48" t="e" vm="1">
        <f>IF(AND($F48="", $G48=""), "",
   IF(OR(
        IF($F48&lt;&gt;"", COUNTIF(ringfence!E$2:E$10000, "*"&amp;$F48&amp;"*"), 0)&gt;0,
        IF($G48&lt;&gt;"", COUNTIF(ringfence!E$2:E$10000, "*"&amp;$G48&amp;"*"), 0)&gt;0
   ),
   "Yes", "No")
)</f>
        <v>#VALUE!</v>
      </c>
      <c r="S48" s="87" t="str" cm="1">
        <f t="array" ref="S48">_xlfn.IFS(
    B48="1对1", "1x1",
    B48="1对2", "1x2",
    B48="小组会议", "小组会议",
    TRUE, B48
)</f>
        <v>1x1</v>
      </c>
      <c r="T48" s="32" t="e" vm="1">
        <f t="shared" ref="T48:T53" si="3">G48 &amp; CHAR(10) &amp; F48</f>
        <v>#VALUE!</v>
      </c>
    </row>
    <row r="49" spans="1:20" ht="136">
      <c r="A49" s="87" t="s">
        <v>506</v>
      </c>
      <c r="B49" s="88" t="s">
        <v>239</v>
      </c>
      <c r="C49" s="89" t="s">
        <v>240</v>
      </c>
      <c r="D49" s="89" t="s">
        <v>241</v>
      </c>
      <c r="E49" s="97" t="s">
        <v>695</v>
      </c>
      <c r="F49" s="87" t="e" cm="1" vm="2">
        <f t="array" ref="F49">IF(E49="","",
_xlfn._xlws.FILTER(
    IF(CompanyName1[]="","",CompanyName1[]),
    (ISNUMBER(SEARCH(E49,CompanyName1[机构名称（英文）]&amp;"")) +
     ISNUMBER(SEARCH(E49,CompanyName1[机构名称（中文）]&amp;"")))&gt;0
))</f>
        <v>#VALUE!</v>
      </c>
      <c r="G49" s="87"/>
      <c r="H49" s="90" t="e" vm="1">
        <f>IF(AND($F49="", $G49=""), "",
  _xlfn.IFNA(_xlfn.XLOOKUP($F49, database!$C:$C, database!$I:$I),
  _xlfn.IFNA(_xlfn.XLOOKUP($F49, database!$D:$D, database!$I:$I),
  _xlfn.IFNA(_xlfn.XLOOKUP($G49, database!$C:$C, database!$I:$I),
  _xlfn.IFNA(_xlfn.XLOOKUP($G49, database!$D:$D, database!$I:$I), "")))) &amp; ""
)</f>
        <v>#VALUE!</v>
      </c>
      <c r="I49" s="87" t="e" vm="1">
        <f>IF(AND($F49="", $G49=""), "",
  _xlfn.IFNA(_xlfn.XLOOKUP($F49, database!$C:$C, database!$J:$J),
  _xlfn.IFNA(_xlfn.XLOOKUP($F49, database!$D:$D, database!$J:$J),
  _xlfn.IFNA(_xlfn.XLOOKUP($G49, database!$C:$C, database!$J:$J),
  _xlfn.IFNA(_xlfn.XLOOKUP($G49, database!$D:$D, database!$J:$J), "")))) &amp; ""
)</f>
        <v>#VALUE!</v>
      </c>
      <c r="J49" s="87" t="str">
        <f>IF($G49="","",
   _xlfn.IFNA(
      _xlfn.XLOOKUP($G49, database!$C:$C, database!$E:$E) &amp; "",
      _xlfn.XLOOKUP($G49, database!$D:$D, database!$E:$E, "") &amp; ""
   )
)</f>
        <v/>
      </c>
      <c r="K49" s="87" t="e" vm="1">
        <f>IF(AND($F49="", $G49=""), "",
  _xlfn.IFNA(_xlfn.XLOOKUP($F49, database!$C:$C, database!$K:$K),
  _xlfn.IFNA(_xlfn.XLOOKUP($F49, database!$D:$D, database!$K:$K),
  _xlfn.IFNA(_xlfn.XLOOKUP($G49, database!$C:$C, database!$K:$K),
  _xlfn.IFNA(_xlfn.XLOOKUP($G49, database!$D:$D, database!$K:$K), "")))) &amp; ""
)</f>
        <v>#VALUE!</v>
      </c>
      <c r="L49" s="165" t="e" vm="1">
        <f>IF(AND($F49="", $G49=""), "",
  _xlfn.IFNA(_xlfn.XLOOKUP($F49, database!$C:$C, database!$F:$F),
  _xlfn.IFNA(_xlfn.XLOOKUP($F49, database!$D:$D, database!$F:$F),
  _xlfn.IFNA(_xlfn.XLOOKUP($G49, database!$C:$C, database!$F:$F),
  _xlfn.IFNA(_xlfn.XLOOKUP($G49, database!$D:$D, database!$F:$F), "")))) &amp; ""
)</f>
        <v>#VALUE!</v>
      </c>
      <c r="M49" s="105" t="e" vm="1">
        <f>IF(AND($F49="", $G49=""), "",
  _xlfn.IFNA(_xlfn.XLOOKUP($F49, database!$C:$C, database!$G:$G),
  _xlfn.IFNA(_xlfn.XLOOKUP($F49, database!$D:$D, database!$G:$G),
  _xlfn.IFNA(_xlfn.XLOOKUP($G49, database!$C:$C, database!$G:$G),
  _xlfn.IFNA(_xlfn.XLOOKUP($G49, database!$D:$D, database!$G:$G), "")))) &amp; ""
)</f>
        <v>#VALUE!</v>
      </c>
      <c r="N49" t="e" vm="1">
        <f>IF(AND($F49="", $G49=""), "",
   IF(OR(
        IF($F49&lt;&gt;"", COUNTIF(ringfence!A$2:A$10000, "*"&amp;$F49&amp;"*"), 0)&gt;0,
        IF($G49&lt;&gt;"", COUNTIF(ringfence!A$2:A$10000, "*"&amp;$G49&amp;"*"), 0)&gt;0
   ),
   "Yes", "No")
)</f>
        <v>#VALUE!</v>
      </c>
      <c r="O49" t="e" vm="1">
        <f>IF(AND($F49="", $G49=""), "",
   IF(OR(
        IF($F49&lt;&gt;"", COUNTIF(ringfence!B$2:B$10000, "*"&amp;$F49&amp;"*"), 0)&gt;0,
        IF($G49&lt;&gt;"", COUNTIF(ringfence!B$2:B$10000, "*"&amp;$G49&amp;"*"), 0)&gt;0
   ),
   "Yes", "No")
)</f>
        <v>#VALUE!</v>
      </c>
      <c r="P49" t="e" vm="1">
        <f>IF(AND($F49="", $G49=""), "",
   IF(OR(
        IF($F49&lt;&gt;"", COUNTIF(ringfence!C$2:C$10000, "*"&amp;$F49&amp;"*"), 0)&gt;0,
        IF($G49&lt;&gt;"", COUNTIF(ringfence!C$2:C$10000, "*"&amp;$G49&amp;"*"), 0)&gt;0
   ),
   "Yes", "No")
)</f>
        <v>#VALUE!</v>
      </c>
      <c r="Q49" t="e" vm="1">
        <f>IF(AND($F49="", $G49=""), "",
   IF(OR(
        IF($F49&lt;&gt;"", COUNTIF(ringfence!D$2:D$10000, "*"&amp;$F49&amp;"*"), 0)&gt;0,
        IF($G49&lt;&gt;"", COUNTIF(ringfence!D$2:D$10000, "*"&amp;$G49&amp;"*"), 0)&gt;0
   ),
   "Yes", "No")
)</f>
        <v>#VALUE!</v>
      </c>
      <c r="R49" t="e" vm="1">
        <f>IF(AND($F49="", $G49=""), "",
   IF(OR(
        IF($F49&lt;&gt;"", COUNTIF(ringfence!E$2:E$10000, "*"&amp;$F49&amp;"*"), 0)&gt;0,
        IF($G49&lt;&gt;"", COUNTIF(ringfence!E$2:E$10000, "*"&amp;$G49&amp;"*"), 0)&gt;0
   ),
   "Yes", "No")
)</f>
        <v>#VALUE!</v>
      </c>
      <c r="S49" s="87" t="str" cm="1">
        <f t="array" ref="S49">_xlfn.IFS(
    B49="1对1", "1x1",
    B49="1对2", "1x2",
    B49="小组会议", "小组会议",
    TRUE, B49
)</f>
        <v>1x1</v>
      </c>
      <c r="T49" s="32" t="e" vm="1">
        <f t="shared" si="3"/>
        <v>#VALUE!</v>
      </c>
    </row>
    <row r="50" spans="1:20" ht="102">
      <c r="A50" s="87" t="s">
        <v>243</v>
      </c>
      <c r="B50" s="88" t="s">
        <v>239</v>
      </c>
      <c r="C50" s="89" t="s">
        <v>240</v>
      </c>
      <c r="D50" s="89" t="s">
        <v>241</v>
      </c>
      <c r="E50" s="97" t="s">
        <v>717</v>
      </c>
      <c r="F50" s="87" t="e" cm="1" vm="2">
        <f t="array" ref="F50">IF(E50="","",
_xlfn._xlws.FILTER(
    IF(CompanyName1[]="","",CompanyName1[]),
    (ISNUMBER(SEARCH(E50,CompanyName1[机构名称（英文）]&amp;"")) +
     ISNUMBER(SEARCH(E50,CompanyName1[机构名称（中文）]&amp;"")))&gt;0
))</f>
        <v>#VALUE!</v>
      </c>
      <c r="G50" s="87"/>
      <c r="H50" s="90" t="e" vm="1">
        <f>IF(AND($F50="", $G50=""), "",
  _xlfn.IFNA(_xlfn.XLOOKUP($F50, database!$C:$C, database!$I:$I),
  _xlfn.IFNA(_xlfn.XLOOKUP($F50, database!$D:$D, database!$I:$I),
  _xlfn.IFNA(_xlfn.XLOOKUP($G50, database!$C:$C, database!$I:$I),
  _xlfn.IFNA(_xlfn.XLOOKUP($G50, database!$D:$D, database!$I:$I), "")))) &amp; ""
)</f>
        <v>#VALUE!</v>
      </c>
      <c r="I50" s="87" t="e" vm="1">
        <f>IF(AND($F50="", $G50=""), "",
  _xlfn.IFNA(_xlfn.XLOOKUP($F50, database!$C:$C, database!$J:$J),
  _xlfn.IFNA(_xlfn.XLOOKUP($F50, database!$D:$D, database!$J:$J),
  _xlfn.IFNA(_xlfn.XLOOKUP($G50, database!$C:$C, database!$J:$J),
  _xlfn.IFNA(_xlfn.XLOOKUP($G50, database!$D:$D, database!$J:$J), "")))) &amp; ""
)</f>
        <v>#VALUE!</v>
      </c>
      <c r="J50" s="87" t="str">
        <f>IF($G50="","",
   _xlfn.IFNA(
      _xlfn.XLOOKUP($G50, database!$C:$C, database!$E:$E) &amp; "",
      _xlfn.XLOOKUP($G50, database!$D:$D, database!$E:$E, "") &amp; ""
   )
)</f>
        <v/>
      </c>
      <c r="K50" s="87" t="e" vm="1">
        <f>IF(AND($F50="", $G50=""), "",
  _xlfn.IFNA(_xlfn.XLOOKUP($F50, database!$C:$C, database!$K:$K),
  _xlfn.IFNA(_xlfn.XLOOKUP($F50, database!$D:$D, database!$K:$K),
  _xlfn.IFNA(_xlfn.XLOOKUP($G50, database!$C:$C, database!$K:$K),
  _xlfn.IFNA(_xlfn.XLOOKUP($G50, database!$D:$D, database!$K:$K), "")))) &amp; ""
)</f>
        <v>#VALUE!</v>
      </c>
      <c r="L50" s="165" t="e" vm="1">
        <f>IF(AND($F50="", $G50=""), "",
  _xlfn.IFNA(_xlfn.XLOOKUP($F50, database!$C:$C, database!$F:$F),
  _xlfn.IFNA(_xlfn.XLOOKUP($F50, database!$D:$D, database!$F:$F),
  _xlfn.IFNA(_xlfn.XLOOKUP($G50, database!$C:$C, database!$F:$F),
  _xlfn.IFNA(_xlfn.XLOOKUP($G50, database!$D:$D, database!$F:$F), "")))) &amp; ""
)</f>
        <v>#VALUE!</v>
      </c>
      <c r="M50" s="105" t="e" vm="1">
        <f>IF(AND($F50="", $G50=""), "",
  _xlfn.IFNA(_xlfn.XLOOKUP($F50, database!$C:$C, database!$G:$G),
  _xlfn.IFNA(_xlfn.XLOOKUP($F50, database!$D:$D, database!$G:$G),
  _xlfn.IFNA(_xlfn.XLOOKUP($G50, database!$C:$C, database!$G:$G),
  _xlfn.IFNA(_xlfn.XLOOKUP($G50, database!$D:$D, database!$G:$G), "")))) &amp; ""
)</f>
        <v>#VALUE!</v>
      </c>
      <c r="N50" t="e" vm="1">
        <f>IF(AND($F50="", $G50=""), "",
   IF(OR(
        IF($F50&lt;&gt;"", COUNTIF(ringfence!A$2:A$10000, "*"&amp;$F50&amp;"*"), 0)&gt;0,
        IF($G50&lt;&gt;"", COUNTIF(ringfence!A$2:A$10000, "*"&amp;$G50&amp;"*"), 0)&gt;0
   ),
   "Yes", "No")
)</f>
        <v>#VALUE!</v>
      </c>
      <c r="O50" t="e" vm="1">
        <f>IF(AND($F50="", $G50=""), "",
   IF(OR(
        IF($F50&lt;&gt;"", COUNTIF(ringfence!B$2:B$10000, "*"&amp;$F50&amp;"*"), 0)&gt;0,
        IF($G50&lt;&gt;"", COUNTIF(ringfence!B$2:B$10000, "*"&amp;$G50&amp;"*"), 0)&gt;0
   ),
   "Yes", "No")
)</f>
        <v>#VALUE!</v>
      </c>
      <c r="P50" t="e" vm="1">
        <f>IF(AND($F50="", $G50=""), "",
   IF(OR(
        IF($F50&lt;&gt;"", COUNTIF(ringfence!C$2:C$10000, "*"&amp;$F50&amp;"*"), 0)&gt;0,
        IF($G50&lt;&gt;"", COUNTIF(ringfence!C$2:C$10000, "*"&amp;$G50&amp;"*"), 0)&gt;0
   ),
   "Yes", "No")
)</f>
        <v>#VALUE!</v>
      </c>
      <c r="Q50" t="e" vm="1">
        <f>IF(AND($F50="", $G50=""), "",
   IF(OR(
        IF($F50&lt;&gt;"", COUNTIF(ringfence!D$2:D$10000, "*"&amp;$F50&amp;"*"), 0)&gt;0,
        IF($G50&lt;&gt;"", COUNTIF(ringfence!D$2:D$10000, "*"&amp;$G50&amp;"*"), 0)&gt;0
   ),
   "Yes", "No")
)</f>
        <v>#VALUE!</v>
      </c>
      <c r="R50" t="e" vm="1">
        <f>IF(AND($F50="", $G50=""), "",
   IF(OR(
        IF($F50&lt;&gt;"", COUNTIF(ringfence!E$2:E$10000, "*"&amp;$F50&amp;"*"), 0)&gt;0,
        IF($G50&lt;&gt;"", COUNTIF(ringfence!E$2:E$10000, "*"&amp;$G50&amp;"*"), 0)&gt;0
   ),
   "Yes", "No")
)</f>
        <v>#VALUE!</v>
      </c>
      <c r="S50" s="87" t="str" cm="1">
        <f t="array" ref="S50">_xlfn.IFS(
    B50="1对1", "1x1",
    B50="1对2", "1x2",
    B50="小组会议", "小组会议",
    TRUE, B50
)</f>
        <v>1x1</v>
      </c>
      <c r="T50" s="32" t="e" vm="1">
        <f t="shared" si="3"/>
        <v>#VALUE!</v>
      </c>
    </row>
    <row r="51" spans="1:20" ht="68">
      <c r="A51" s="87" t="s">
        <v>244</v>
      </c>
      <c r="B51" s="88" t="s">
        <v>239</v>
      </c>
      <c r="C51" s="89" t="s">
        <v>240</v>
      </c>
      <c r="D51" s="89" t="s">
        <v>241</v>
      </c>
      <c r="E51" s="97" t="s">
        <v>715</v>
      </c>
      <c r="F51" s="87" t="e" cm="1" vm="2">
        <f t="array" ref="F51">IF(E51="","",
_xlfn._xlws.FILTER(
    IF(CompanyName1[]="","",CompanyName1[]),
    (ISNUMBER(SEARCH(E51,CompanyName1[机构名称（英文）]&amp;"")) +
     ISNUMBER(SEARCH(E51,CompanyName1[机构名称（中文）]&amp;"")))&gt;0
))</f>
        <v>#VALUE!</v>
      </c>
      <c r="G51" s="87"/>
      <c r="H51" s="90" t="e" vm="1">
        <f>IF(AND($F51="", $G51=""), "",
  _xlfn.IFNA(_xlfn.XLOOKUP($F51, database!$C:$C, database!$I:$I),
  _xlfn.IFNA(_xlfn.XLOOKUP($F51, database!$D:$D, database!$I:$I),
  _xlfn.IFNA(_xlfn.XLOOKUP($G51, database!$C:$C, database!$I:$I),
  _xlfn.IFNA(_xlfn.XLOOKUP($G51, database!$D:$D, database!$I:$I), "")))) &amp; ""
)</f>
        <v>#VALUE!</v>
      </c>
      <c r="I51" s="87" t="e" vm="1">
        <f>IF(AND($F51="", $G51=""), "",
  _xlfn.IFNA(_xlfn.XLOOKUP($F51, database!$C:$C, database!$J:$J),
  _xlfn.IFNA(_xlfn.XLOOKUP($F51, database!$D:$D, database!$J:$J),
  _xlfn.IFNA(_xlfn.XLOOKUP($G51, database!$C:$C, database!$J:$J),
  _xlfn.IFNA(_xlfn.XLOOKUP($G51, database!$D:$D, database!$J:$J), "")))) &amp; ""
)</f>
        <v>#VALUE!</v>
      </c>
      <c r="J51" s="87" t="str">
        <f>IF($G51="","",
   _xlfn.IFNA(
      _xlfn.XLOOKUP($G51, database!$C:$C, database!$E:$E) &amp; "",
      _xlfn.XLOOKUP($G51, database!$D:$D, database!$E:$E, "") &amp; ""
   )
)</f>
        <v/>
      </c>
      <c r="K51" s="87" t="e" vm="1">
        <f>IF(AND($F51="", $G51=""), "",
  _xlfn.IFNA(_xlfn.XLOOKUP($F51, database!$C:$C, database!$K:$K),
  _xlfn.IFNA(_xlfn.XLOOKUP($F51, database!$D:$D, database!$K:$K),
  _xlfn.IFNA(_xlfn.XLOOKUP($G51, database!$C:$C, database!$K:$K),
  _xlfn.IFNA(_xlfn.XLOOKUP($G51, database!$D:$D, database!$K:$K), "")))) &amp; ""
)</f>
        <v>#VALUE!</v>
      </c>
      <c r="L51" s="165" t="e" vm="1">
        <f>IF(AND($F51="", $G51=""), "",
  _xlfn.IFNA(_xlfn.XLOOKUP($F51, database!$C:$C, database!$F:$F),
  _xlfn.IFNA(_xlfn.XLOOKUP($F51, database!$D:$D, database!$F:$F),
  _xlfn.IFNA(_xlfn.XLOOKUP($G51, database!$C:$C, database!$F:$F),
  _xlfn.IFNA(_xlfn.XLOOKUP($G51, database!$D:$D, database!$F:$F), "")))) &amp; ""
)</f>
        <v>#VALUE!</v>
      </c>
      <c r="M51" s="105" t="e" vm="1">
        <f>IF(AND($F51="", $G51=""), "",
  _xlfn.IFNA(_xlfn.XLOOKUP($F51, database!$C:$C, database!$G:$G),
  _xlfn.IFNA(_xlfn.XLOOKUP($F51, database!$D:$D, database!$G:$G),
  _xlfn.IFNA(_xlfn.XLOOKUP($G51, database!$C:$C, database!$G:$G),
  _xlfn.IFNA(_xlfn.XLOOKUP($G51, database!$D:$D, database!$G:$G), "")))) &amp; ""
)</f>
        <v>#VALUE!</v>
      </c>
      <c r="N51" t="e" vm="1">
        <f>IF(AND($F51="", $G51=""), "",
   IF(OR(
        IF($F51&lt;&gt;"", COUNTIF(ringfence!A$2:A$10000, "*"&amp;$F51&amp;"*"), 0)&gt;0,
        IF($G51&lt;&gt;"", COUNTIF(ringfence!A$2:A$10000, "*"&amp;$G51&amp;"*"), 0)&gt;0
   ),
   "Yes", "No")
)</f>
        <v>#VALUE!</v>
      </c>
      <c r="O51" t="e" vm="1">
        <f>IF(AND($F51="", $G51=""), "",
   IF(OR(
        IF($F51&lt;&gt;"", COUNTIF(ringfence!B$2:B$10000, "*"&amp;$F51&amp;"*"), 0)&gt;0,
        IF($G51&lt;&gt;"", COUNTIF(ringfence!B$2:B$10000, "*"&amp;$G51&amp;"*"), 0)&gt;0
   ),
   "Yes", "No")
)</f>
        <v>#VALUE!</v>
      </c>
      <c r="P51" t="e" vm="1">
        <f>IF(AND($F51="", $G51=""), "",
   IF(OR(
        IF($F51&lt;&gt;"", COUNTIF(ringfence!C$2:C$10000, "*"&amp;$F51&amp;"*"), 0)&gt;0,
        IF($G51&lt;&gt;"", COUNTIF(ringfence!C$2:C$10000, "*"&amp;$G51&amp;"*"), 0)&gt;0
   ),
   "Yes", "No")
)</f>
        <v>#VALUE!</v>
      </c>
      <c r="Q51" t="e" vm="1">
        <f>IF(AND($F51="", $G51=""), "",
   IF(OR(
        IF($F51&lt;&gt;"", COUNTIF(ringfence!D$2:D$10000, "*"&amp;$F51&amp;"*"), 0)&gt;0,
        IF($G51&lt;&gt;"", COUNTIF(ringfence!D$2:D$10000, "*"&amp;$G51&amp;"*"), 0)&gt;0
   ),
   "Yes", "No")
)</f>
        <v>#VALUE!</v>
      </c>
      <c r="R51" t="e" vm="1">
        <f>IF(AND($F51="", $G51=""), "",
   IF(OR(
        IF($F51&lt;&gt;"", COUNTIF(ringfence!E$2:E$10000, "*"&amp;$F51&amp;"*"), 0)&gt;0,
        IF($G51&lt;&gt;"", COUNTIF(ringfence!E$2:E$10000, "*"&amp;$G51&amp;"*"), 0)&gt;0
   ),
   "Yes", "No")
)</f>
        <v>#VALUE!</v>
      </c>
      <c r="S51" s="87" t="str" cm="1">
        <f t="array" ref="S51">_xlfn.IFS(
    B51="1对1", "1x1",
    B51="1对2", "1x2",
    B51="小组会议", "小组会议",
    TRUE, B51
)</f>
        <v>1x1</v>
      </c>
      <c r="T51" s="32" t="e" vm="1">
        <f t="shared" si="3"/>
        <v>#VALUE!</v>
      </c>
    </row>
    <row r="52" spans="1:20" ht="102">
      <c r="A52" s="87"/>
      <c r="B52" s="88"/>
      <c r="C52" s="89"/>
      <c r="D52" s="89"/>
      <c r="E52" s="97" t="s">
        <v>341</v>
      </c>
      <c r="F52" s="87" t="e" cm="1" vm="2">
        <f t="array" ref="F52">IF(E52="","",
_xlfn._xlws.FILTER(
    IF(CompanyName1[]="","",CompanyName1[]),
    (ISNUMBER(SEARCH(E52,CompanyName1[机构名称（英文）]&amp;"")) +
     ISNUMBER(SEARCH(E52,CompanyName1[机构名称（中文）]&amp;"")))&gt;0
))</f>
        <v>#VALUE!</v>
      </c>
      <c r="G52" s="87"/>
      <c r="H52" s="90" t="e" vm="1">
        <f>IF(AND($F52="", $G52=""), "",
  _xlfn.IFNA(_xlfn.XLOOKUP($F52, database!$C:$C, database!$I:$I),
  _xlfn.IFNA(_xlfn.XLOOKUP($F52, database!$D:$D, database!$I:$I),
  _xlfn.IFNA(_xlfn.XLOOKUP($G52, database!$C:$C, database!$I:$I),
  _xlfn.IFNA(_xlfn.XLOOKUP($G52, database!$D:$D, database!$I:$I), "")))) &amp; ""
)</f>
        <v>#VALUE!</v>
      </c>
      <c r="I52" s="87" t="e" vm="1">
        <f>IF(AND($F52="", $G52=""), "",
  _xlfn.IFNA(_xlfn.XLOOKUP($F52, database!$C:$C, database!$J:$J),
  _xlfn.IFNA(_xlfn.XLOOKUP($F52, database!$D:$D, database!$J:$J),
  _xlfn.IFNA(_xlfn.XLOOKUP($G52, database!$C:$C, database!$J:$J),
  _xlfn.IFNA(_xlfn.XLOOKUP($G52, database!$D:$D, database!$J:$J), "")))) &amp; ""
)</f>
        <v>#VALUE!</v>
      </c>
      <c r="J52" s="87" t="str">
        <f>IF($G52="","",
   _xlfn.IFNA(
      _xlfn.XLOOKUP($G52, database!$C:$C, database!$E:$E) &amp; "",
      _xlfn.XLOOKUP($G52, database!$D:$D, database!$E:$E, "") &amp; ""
   )
)</f>
        <v/>
      </c>
      <c r="K52" s="87" t="e" vm="1">
        <f>IF(AND($F52="", $G52=""), "",
  _xlfn.IFNA(_xlfn.XLOOKUP($F52, database!$C:$C, database!$K:$K),
  _xlfn.IFNA(_xlfn.XLOOKUP($F52, database!$D:$D, database!$K:$K),
  _xlfn.IFNA(_xlfn.XLOOKUP($G52, database!$C:$C, database!$K:$K),
  _xlfn.IFNA(_xlfn.XLOOKUP($G52, database!$D:$D, database!$K:$K), "")))) &amp; ""
)</f>
        <v>#VALUE!</v>
      </c>
      <c r="L52" s="165" t="e" vm="1">
        <f>IF(AND($F52="", $G52=""), "",
  _xlfn.IFNA(_xlfn.XLOOKUP($F52, database!$C:$C, database!$F:$F),
  _xlfn.IFNA(_xlfn.XLOOKUP($F52, database!$D:$D, database!$F:$F),
  _xlfn.IFNA(_xlfn.XLOOKUP($G52, database!$C:$C, database!$F:$F),
  _xlfn.IFNA(_xlfn.XLOOKUP($G52, database!$D:$D, database!$F:$F), "")))) &amp; ""
)</f>
        <v>#VALUE!</v>
      </c>
      <c r="M52" s="105" t="e" vm="1">
        <f>IF(AND($F52="", $G52=""), "",
  _xlfn.IFNA(_xlfn.XLOOKUP($F52, database!$C:$C, database!$G:$G),
  _xlfn.IFNA(_xlfn.XLOOKUP($F52, database!$D:$D, database!$G:$G),
  _xlfn.IFNA(_xlfn.XLOOKUP($G52, database!$C:$C, database!$G:$G),
  _xlfn.IFNA(_xlfn.XLOOKUP($G52, database!$D:$D, database!$G:$G), "")))) &amp; ""
)</f>
        <v>#VALUE!</v>
      </c>
      <c r="N52" t="e" vm="1">
        <f>IF(AND($F52="", $G52=""), "",
   IF(OR(
        IF($F52&lt;&gt;"", COUNTIF(ringfence!A$2:A$10000, "*"&amp;$F52&amp;"*"), 0)&gt;0,
        IF($G52&lt;&gt;"", COUNTIF(ringfence!A$2:A$10000, "*"&amp;$G52&amp;"*"), 0)&gt;0
   ),
   "Yes", "No")
)</f>
        <v>#VALUE!</v>
      </c>
      <c r="O52" t="e" vm="1">
        <f>IF(AND($F52="", $G52=""), "",
   IF(OR(
        IF($F52&lt;&gt;"", COUNTIF(ringfence!B$2:B$10000, "*"&amp;$F52&amp;"*"), 0)&gt;0,
        IF($G52&lt;&gt;"", COUNTIF(ringfence!B$2:B$10000, "*"&amp;$G52&amp;"*"), 0)&gt;0
   ),
   "Yes", "No")
)</f>
        <v>#VALUE!</v>
      </c>
      <c r="P52" t="e" vm="1">
        <f>IF(AND($F52="", $G52=""), "",
   IF(OR(
        IF($F52&lt;&gt;"", COUNTIF(ringfence!C$2:C$10000, "*"&amp;$F52&amp;"*"), 0)&gt;0,
        IF($G52&lt;&gt;"", COUNTIF(ringfence!C$2:C$10000, "*"&amp;$G52&amp;"*"), 0)&gt;0
   ),
   "Yes", "No")
)</f>
        <v>#VALUE!</v>
      </c>
      <c r="Q52" t="e" vm="1">
        <f>IF(AND($F52="", $G52=""), "",
   IF(OR(
        IF($F52&lt;&gt;"", COUNTIF(ringfence!D$2:D$10000, "*"&amp;$F52&amp;"*"), 0)&gt;0,
        IF($G52&lt;&gt;"", COUNTIF(ringfence!D$2:D$10000, "*"&amp;$G52&amp;"*"), 0)&gt;0
   ),
   "Yes", "No")
)</f>
        <v>#VALUE!</v>
      </c>
      <c r="R52" t="e" vm="1">
        <f>IF(AND($F52="", $G52=""), "",
   IF(OR(
        IF($F52&lt;&gt;"", COUNTIF(ringfence!E$2:E$10000, "*"&amp;$F52&amp;"*"), 0)&gt;0,
        IF($G52&lt;&gt;"", COUNTIF(ringfence!E$2:E$10000, "*"&amp;$G52&amp;"*"), 0)&gt;0
   ),
   "Yes", "No")
)</f>
        <v>#VALUE!</v>
      </c>
      <c r="S52" s="87" cm="1">
        <f t="array" ref="S52">_xlfn.IFS(
    B52="1对1", "1x1",
    B52="1对2", "1x2",
    B52="小组会议", "小组会议",
    TRUE, B52
)</f>
        <v>0</v>
      </c>
      <c r="T52" s="32" t="e" vm="1">
        <f t="shared" si="3"/>
        <v>#VALUE!</v>
      </c>
    </row>
    <row r="53" spans="1:20" ht="45" customHeight="1">
      <c r="A53" s="87"/>
      <c r="B53" s="88"/>
      <c r="C53" s="89"/>
      <c r="D53" s="89"/>
      <c r="E53" s="97" t="s">
        <v>318</v>
      </c>
      <c r="F53" s="87" t="e" cm="1" vm="2">
        <f t="array" ref="F53">IF(E53="","",
_xlfn._xlws.FILTER(
    IF(CompanyName1[]="","",CompanyName1[]),
    (ISNUMBER(SEARCH(E53,CompanyName1[机构名称（英文）]&amp;"")) +
     ISNUMBER(SEARCH(E53,CompanyName1[机构名称（中文）]&amp;"")))&gt;0
))</f>
        <v>#VALUE!</v>
      </c>
      <c r="G53" s="87"/>
      <c r="H53" s="90" t="e" vm="1">
        <f>IF(AND($F53="", $G53=""), "",
  _xlfn.IFNA(_xlfn.XLOOKUP($F53, database!$C:$C, database!$I:$I),
  _xlfn.IFNA(_xlfn.XLOOKUP($F53, database!$D:$D, database!$I:$I),
  _xlfn.IFNA(_xlfn.XLOOKUP($G53, database!$C:$C, database!$I:$I),
  _xlfn.IFNA(_xlfn.XLOOKUP($G53, database!$D:$D, database!$I:$I), "")))) &amp; ""
)</f>
        <v>#VALUE!</v>
      </c>
      <c r="I53" s="87" t="e" vm="1">
        <f>IF(AND($F53="", $G53=""), "",
  _xlfn.IFNA(_xlfn.XLOOKUP($F53, database!$C:$C, database!$J:$J),
  _xlfn.IFNA(_xlfn.XLOOKUP($F53, database!$D:$D, database!$J:$J),
  _xlfn.IFNA(_xlfn.XLOOKUP($G53, database!$C:$C, database!$J:$J),
  _xlfn.IFNA(_xlfn.XLOOKUP($G53, database!$D:$D, database!$J:$J), "")))) &amp; ""
)</f>
        <v>#VALUE!</v>
      </c>
      <c r="J53" s="87" t="str">
        <f>IF($G53="","",
   _xlfn.IFNA(
      _xlfn.XLOOKUP($G53, database!$C:$C, database!$E:$E) &amp; "",
      _xlfn.XLOOKUP($G53, database!$D:$D, database!$E:$E, "") &amp; ""
   )
)</f>
        <v/>
      </c>
      <c r="K53" s="87" t="e" vm="1">
        <f>IF(AND($F53="", $G53=""), "",
  _xlfn.IFNA(_xlfn.XLOOKUP($F53, database!$C:$C, database!$K:$K),
  _xlfn.IFNA(_xlfn.XLOOKUP($F53, database!$D:$D, database!$K:$K),
  _xlfn.IFNA(_xlfn.XLOOKUP($G53, database!$C:$C, database!$K:$K),
  _xlfn.IFNA(_xlfn.XLOOKUP($G53, database!$D:$D, database!$K:$K), "")))) &amp; ""
)</f>
        <v>#VALUE!</v>
      </c>
      <c r="L53" s="165" t="e" vm="1">
        <f>IF(AND($F53="", $G53=""), "",
  _xlfn.IFNA(_xlfn.XLOOKUP($F53, database!$C:$C, database!$F:$F),
  _xlfn.IFNA(_xlfn.XLOOKUP($F53, database!$D:$D, database!$F:$F),
  _xlfn.IFNA(_xlfn.XLOOKUP($G53, database!$C:$C, database!$F:$F),
  _xlfn.IFNA(_xlfn.XLOOKUP($G53, database!$D:$D, database!$F:$F), "")))) &amp; ""
)</f>
        <v>#VALUE!</v>
      </c>
      <c r="M53" s="105" t="e" vm="1">
        <f>IF(AND($F53="", $G53=""), "",
  _xlfn.IFNA(_xlfn.XLOOKUP($F53, database!$C:$C, database!$G:$G),
  _xlfn.IFNA(_xlfn.XLOOKUP($F53, database!$D:$D, database!$G:$G),
  _xlfn.IFNA(_xlfn.XLOOKUP($G53, database!$C:$C, database!$G:$G),
  _xlfn.IFNA(_xlfn.XLOOKUP($G53, database!$D:$D, database!$G:$G), "")))) &amp; ""
)</f>
        <v>#VALUE!</v>
      </c>
      <c r="N53" t="e" vm="1">
        <f>IF(AND($F53="", $G53=""), "",
   IF(OR(
        IF($F53&lt;&gt;"", COUNTIF(ringfence!A$2:A$10000, "*"&amp;$F53&amp;"*"), 0)&gt;0,
        IF($G53&lt;&gt;"", COUNTIF(ringfence!A$2:A$10000, "*"&amp;$G53&amp;"*"), 0)&gt;0
   ),
   "Yes", "No")
)</f>
        <v>#VALUE!</v>
      </c>
      <c r="O53" t="e" vm="1">
        <f>IF(AND($F53="", $G53=""), "",
   IF(OR(
        IF($F53&lt;&gt;"", COUNTIF(ringfence!B$2:B$10000, "*"&amp;$F53&amp;"*"), 0)&gt;0,
        IF($G53&lt;&gt;"", COUNTIF(ringfence!B$2:B$10000, "*"&amp;$G53&amp;"*"), 0)&gt;0
   ),
   "Yes", "No")
)</f>
        <v>#VALUE!</v>
      </c>
      <c r="P53" t="e" vm="1">
        <f>IF(AND($F53="", $G53=""), "",
   IF(OR(
        IF($F53&lt;&gt;"", COUNTIF(ringfence!C$2:C$10000, "*"&amp;$F53&amp;"*"), 0)&gt;0,
        IF($G53&lt;&gt;"", COUNTIF(ringfence!C$2:C$10000, "*"&amp;$G53&amp;"*"), 0)&gt;0
   ),
   "Yes", "No")
)</f>
        <v>#VALUE!</v>
      </c>
      <c r="Q53" t="e" vm="1">
        <f>IF(AND($F53="", $G53=""), "",
   IF(OR(
        IF($F53&lt;&gt;"", COUNTIF(ringfence!D$2:D$10000, "*"&amp;$F53&amp;"*"), 0)&gt;0,
        IF($G53&lt;&gt;"", COUNTIF(ringfence!D$2:D$10000, "*"&amp;$G53&amp;"*"), 0)&gt;0
   ),
   "Yes", "No")
)</f>
        <v>#VALUE!</v>
      </c>
      <c r="R53" t="e" vm="1">
        <f>IF(AND($F53="", $G53=""), "",
   IF(OR(
        IF($F53&lt;&gt;"", COUNTIF(ringfence!E$2:E$10000, "*"&amp;$F53&amp;"*"), 0)&gt;0,
        IF($G53&lt;&gt;"", COUNTIF(ringfence!E$2:E$10000, "*"&amp;$G53&amp;"*"), 0)&gt;0
   ),
   "Yes", "No")
)</f>
        <v>#VALUE!</v>
      </c>
      <c r="S53" s="87" cm="1">
        <f t="array" ref="S53">_xlfn.IFS(
    B53="1对1", "1x1",
    B53="1对2", "1x2",
    B53="小组会议", "小组会议",
    TRUE, B53
)</f>
        <v>0</v>
      </c>
      <c r="T53" s="32" t="e" vm="1">
        <f t="shared" si="3"/>
        <v>#VALUE!</v>
      </c>
    </row>
    <row r="54" spans="1:20" ht="19" customHeight="1"/>
    <row r="55" spans="1:20" ht="30.25" customHeight="1"/>
    <row r="56" spans="1:20" ht="30.25" customHeight="1"/>
    <row r="57" spans="1:20" ht="30.25" customHeight="1"/>
    <row r="58" spans="1:20" ht="30.25" customHeight="1"/>
    <row r="64" spans="1:20" ht="30.25" customHeight="1"/>
    <row r="65" ht="30.25" customHeight="1"/>
    <row r="66" ht="30.25" customHeight="1"/>
    <row r="67" ht="30.25" customHeight="1"/>
    <row r="68" ht="30.25" customHeight="1"/>
    <row r="69" ht="30.25" customHeight="1"/>
  </sheetData>
  <phoneticPr fontId="20" type="noConversion"/>
  <conditionalFormatting sqref="N15:R20">
    <cfRule type="containsText" dxfId="5" priority="4" operator="containsText" text="Yes">
      <formula>NOT(ISERROR(SEARCH("Yes",N15)))</formula>
    </cfRule>
    <cfRule type="containsText" dxfId="4" priority="5" operator="containsText" text="Yes">
      <formula>NOT(ISERROR(SEARCH("Yes",N15)))</formula>
    </cfRule>
  </conditionalFormatting>
  <conditionalFormatting sqref="N26:R31">
    <cfRule type="containsText" dxfId="3" priority="3" operator="containsText" text="Yes">
      <formula>NOT(ISERROR(SEARCH("Yes",N26)))</formula>
    </cfRule>
  </conditionalFormatting>
  <conditionalFormatting sqref="N37:R42">
    <cfRule type="containsText" dxfId="2" priority="2" operator="containsText" text="Yes">
      <formula>NOT(ISERROR(SEARCH("Yes",N37)))</formula>
    </cfRule>
  </conditionalFormatting>
  <conditionalFormatting sqref="N48:R53">
    <cfRule type="containsText" dxfId="1" priority="1" operator="containsText" text="Yes">
      <formula>NOT(ISERROR(SEARCH("Yes",N48)))</formula>
    </cfRule>
  </conditionalFormatting>
  <dataValidations count="3">
    <dataValidation type="list" allowBlank="1" showInputMessage="1" showErrorMessage="1" sqref="B48:B53 B15:B20 B37:B42 B26:B31" xr:uid="{00000000-0002-0000-0100-000000000000}">
      <formula1>"1对1,1对2,小组会"</formula1>
    </dataValidation>
    <dataValidation type="list" allowBlank="1" showInputMessage="1" showErrorMessage="1" sqref="D48:D53 D15:D20 D37:D42 D26:D31" xr:uid="{00000000-0002-0000-0100-000001000000}">
      <formula1>"中文,英文"</formula1>
      <formula2>0</formula2>
    </dataValidation>
    <dataValidation type="list" allowBlank="1" showInputMessage="1" showErrorMessage="1" sqref="C48:C53 C15:C20 C37:C42 C26:C31" xr:uid="{DC07CB93-A1DE-A541-8621-AD9EDCD3EA9B}">
      <formula1>"线下会议,线上会议,线下/线上会议, 午餐会, 反向路演"</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9" r:id="rId3" name="Button 1">
              <controlPr defaultSize="0" print="0" autoFill="0" autoPict="0" macro="[0]!InsertAboveEmptyBC_WithSequence_Colors_AndI">
                <anchor moveWithCells="1" sizeWithCells="1">
                  <from>
                    <xdr:col>7</xdr:col>
                    <xdr:colOff>127000</xdr:colOff>
                    <xdr:row>7</xdr:row>
                    <xdr:rowOff>50800</xdr:rowOff>
                  </from>
                  <to>
                    <xdr:col>9</xdr:col>
                    <xdr:colOff>304800</xdr:colOff>
                    <xdr:row>10</xdr:row>
                    <xdr:rowOff>127000</xdr:rowOff>
                  </to>
                </anchor>
              </controlPr>
            </control>
          </mc:Choice>
        </mc:AlternateContent>
        <mc:AlternateContent xmlns:mc="http://schemas.openxmlformats.org/markup-compatibility/2006">
          <mc:Choice Requires="x14">
            <control shapeId="2050" r:id="rId4" name="Button 2">
              <controlPr defaultSize="0" print="0" autoFill="0" autoPict="0" macro="[0]!CopyFirstTwoRowsAndSave" altText="Paste Value and Save">
                <anchor moveWithCells="1" sizeWithCells="1">
                  <from>
                    <xdr:col>5</xdr:col>
                    <xdr:colOff>381000</xdr:colOff>
                    <xdr:row>7</xdr:row>
                    <xdr:rowOff>63500</xdr:rowOff>
                  </from>
                  <to>
                    <xdr:col>6</xdr:col>
                    <xdr:colOff>1206500</xdr:colOff>
                    <xdr:row>10</xdr:row>
                    <xdr:rowOff>127000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938F73-CEA3-4641-AB0E-848EB909AED7}">
  <dimension ref="C2:M69"/>
  <sheetViews>
    <sheetView topLeftCell="B52" zoomScale="150" workbookViewId="0">
      <selection activeCell="I51" sqref="I51"/>
    </sheetView>
  </sheetViews>
  <sheetFormatPr baseColWidth="10" defaultRowHeight="16"/>
  <cols>
    <col min="4" max="4" width="17.33203125" customWidth="1"/>
    <col min="5" max="5" width="26" customWidth="1"/>
    <col min="6" max="6" width="15.1640625" customWidth="1"/>
    <col min="7" max="7" width="12.33203125" customWidth="1"/>
    <col min="8" max="8" width="17.83203125" customWidth="1"/>
  </cols>
  <sheetData>
    <row r="2" spans="3:11">
      <c r="C2" t="s">
        <v>605</v>
      </c>
      <c r="D2" t="s">
        <v>354</v>
      </c>
      <c r="E2" t="s">
        <v>418</v>
      </c>
      <c r="F2" t="s">
        <v>301</v>
      </c>
      <c r="G2" t="s">
        <v>354</v>
      </c>
      <c r="H2" t="s">
        <v>252</v>
      </c>
      <c r="I2" t="s">
        <v>302</v>
      </c>
      <c r="J2" t="s">
        <v>441</v>
      </c>
      <c r="K2" t="s">
        <v>354</v>
      </c>
    </row>
    <row r="3" spans="3:11">
      <c r="C3" t="s">
        <v>606</v>
      </c>
      <c r="D3" t="s">
        <v>354</v>
      </c>
      <c r="E3" t="s">
        <v>285</v>
      </c>
      <c r="F3" t="s">
        <v>287</v>
      </c>
      <c r="G3" t="s">
        <v>288</v>
      </c>
      <c r="H3" t="s">
        <v>252</v>
      </c>
      <c r="I3" t="s">
        <v>289</v>
      </c>
      <c r="J3" t="s">
        <v>414</v>
      </c>
      <c r="K3" t="s">
        <v>286</v>
      </c>
    </row>
    <row r="4" spans="3:11">
      <c r="C4" t="s">
        <v>607</v>
      </c>
      <c r="D4" t="s">
        <v>279</v>
      </c>
      <c r="E4" t="s">
        <v>280</v>
      </c>
      <c r="F4" t="s">
        <v>282</v>
      </c>
      <c r="G4" t="s">
        <v>283</v>
      </c>
      <c r="H4" t="s">
        <v>252</v>
      </c>
      <c r="I4" t="s">
        <v>284</v>
      </c>
      <c r="J4" t="s">
        <v>413</v>
      </c>
      <c r="K4" t="s">
        <v>281</v>
      </c>
    </row>
    <row r="5" spans="3:11">
      <c r="C5" t="s">
        <v>608</v>
      </c>
      <c r="D5" t="s">
        <v>354</v>
      </c>
      <c r="E5" t="s">
        <v>297</v>
      </c>
      <c r="F5" t="s">
        <v>454</v>
      </c>
      <c r="G5" t="s">
        <v>354</v>
      </c>
      <c r="H5" t="s">
        <v>251</v>
      </c>
      <c r="I5" t="s">
        <v>354</v>
      </c>
      <c r="J5" t="s">
        <v>298</v>
      </c>
      <c r="K5" t="s">
        <v>299</v>
      </c>
    </row>
    <row r="6" spans="3:11">
      <c r="C6" t="s">
        <v>609</v>
      </c>
      <c r="D6" t="s">
        <v>354</v>
      </c>
      <c r="E6" t="s">
        <v>248</v>
      </c>
      <c r="F6" t="s">
        <v>271</v>
      </c>
      <c r="G6" t="s">
        <v>354</v>
      </c>
      <c r="H6" t="s">
        <v>252</v>
      </c>
      <c r="I6" t="s">
        <v>354</v>
      </c>
      <c r="J6" t="s">
        <v>575</v>
      </c>
      <c r="K6" t="s">
        <v>270</v>
      </c>
    </row>
    <row r="7" spans="3:11">
      <c r="C7" t="s">
        <v>610</v>
      </c>
      <c r="D7" t="s">
        <v>354</v>
      </c>
      <c r="E7" t="s">
        <v>429</v>
      </c>
      <c r="F7" t="s">
        <v>352</v>
      </c>
      <c r="G7" t="s">
        <v>354</v>
      </c>
      <c r="H7" t="s">
        <v>252</v>
      </c>
      <c r="I7" t="s">
        <v>354</v>
      </c>
      <c r="J7" t="s">
        <v>446</v>
      </c>
      <c r="K7" t="s">
        <v>354</v>
      </c>
    </row>
    <row r="8" spans="3:11">
      <c r="C8" t="s">
        <v>599</v>
      </c>
      <c r="D8" t="s">
        <v>335</v>
      </c>
      <c r="E8" t="s">
        <v>336</v>
      </c>
      <c r="F8" t="s">
        <v>337</v>
      </c>
      <c r="G8" t="s">
        <v>354</v>
      </c>
      <c r="H8" t="s">
        <v>252</v>
      </c>
      <c r="I8" t="s">
        <v>354</v>
      </c>
      <c r="J8" t="s">
        <v>444</v>
      </c>
      <c r="K8" t="s">
        <v>354</v>
      </c>
    </row>
    <row r="9" spans="3:11">
      <c r="C9" t="s">
        <v>600</v>
      </c>
      <c r="D9" t="s">
        <v>354</v>
      </c>
      <c r="E9" t="s">
        <v>448</v>
      </c>
      <c r="F9" t="s">
        <v>528</v>
      </c>
      <c r="G9" t="s">
        <v>354</v>
      </c>
      <c r="H9" t="s">
        <v>252</v>
      </c>
      <c r="I9" t="s">
        <v>354</v>
      </c>
      <c r="J9" t="s">
        <v>449</v>
      </c>
      <c r="K9" t="s">
        <v>354</v>
      </c>
    </row>
    <row r="10" spans="3:11">
      <c r="C10" t="s">
        <v>601</v>
      </c>
      <c r="D10" t="s">
        <v>308</v>
      </c>
      <c r="E10" t="s">
        <v>309</v>
      </c>
      <c r="F10" t="s">
        <v>310</v>
      </c>
      <c r="G10" t="s">
        <v>354</v>
      </c>
      <c r="H10" t="s">
        <v>252</v>
      </c>
      <c r="I10" t="s">
        <v>354</v>
      </c>
      <c r="J10" t="s">
        <v>420</v>
      </c>
      <c r="K10" t="s">
        <v>354</v>
      </c>
    </row>
    <row r="11" spans="3:11">
      <c r="C11" t="s">
        <v>602</v>
      </c>
      <c r="D11" t="s">
        <v>277</v>
      </c>
      <c r="E11" t="s">
        <v>350</v>
      </c>
      <c r="F11" t="s">
        <v>450</v>
      </c>
      <c r="G11" t="s">
        <v>501</v>
      </c>
      <c r="H11" t="s">
        <v>252</v>
      </c>
      <c r="I11" t="s">
        <v>437</v>
      </c>
      <c r="J11" t="s">
        <v>453</v>
      </c>
      <c r="K11" t="s">
        <v>278</v>
      </c>
    </row>
    <row r="12" spans="3:11">
      <c r="C12" t="s">
        <v>603</v>
      </c>
      <c r="D12" t="s">
        <v>354</v>
      </c>
      <c r="E12" t="s">
        <v>313</v>
      </c>
      <c r="F12" t="s">
        <v>314</v>
      </c>
      <c r="G12" t="s">
        <v>354</v>
      </c>
      <c r="H12" t="s">
        <v>252</v>
      </c>
      <c r="I12" t="s">
        <v>354</v>
      </c>
      <c r="J12" t="s">
        <v>423</v>
      </c>
      <c r="K12" t="s">
        <v>354</v>
      </c>
    </row>
    <row r="13" spans="3:11">
      <c r="C13" t="s">
        <v>604</v>
      </c>
      <c r="D13" t="s">
        <v>316</v>
      </c>
      <c r="E13" t="s">
        <v>317</v>
      </c>
      <c r="F13" t="s">
        <v>526</v>
      </c>
      <c r="G13" t="s">
        <v>354</v>
      </c>
      <c r="H13" t="s">
        <v>253</v>
      </c>
      <c r="I13" t="s">
        <v>354</v>
      </c>
      <c r="J13" t="s">
        <v>442</v>
      </c>
      <c r="K13" t="s">
        <v>500</v>
      </c>
    </row>
    <row r="14" spans="3:11">
      <c r="C14" t="s">
        <v>611</v>
      </c>
      <c r="D14" t="s">
        <v>354</v>
      </c>
      <c r="E14" t="s">
        <v>581</v>
      </c>
      <c r="F14" t="s">
        <v>354</v>
      </c>
      <c r="G14" t="s">
        <v>354</v>
      </c>
      <c r="H14" t="s">
        <v>252</v>
      </c>
      <c r="I14" t="s">
        <v>583</v>
      </c>
      <c r="J14" t="s">
        <v>582</v>
      </c>
      <c r="K14" t="s">
        <v>354</v>
      </c>
    </row>
    <row r="15" spans="3:11">
      <c r="C15" t="s">
        <v>612</v>
      </c>
      <c r="D15" t="s">
        <v>577</v>
      </c>
      <c r="E15" t="s">
        <v>578</v>
      </c>
      <c r="F15" t="s">
        <v>354</v>
      </c>
      <c r="G15" t="s">
        <v>354</v>
      </c>
      <c r="H15" t="s">
        <v>252</v>
      </c>
      <c r="I15" t="s">
        <v>580</v>
      </c>
      <c r="J15" t="s">
        <v>579</v>
      </c>
      <c r="K15" t="s">
        <v>354</v>
      </c>
    </row>
    <row r="16" spans="3:11">
      <c r="C16" t="s">
        <v>613</v>
      </c>
      <c r="D16" t="s">
        <v>322</v>
      </c>
      <c r="E16" t="s">
        <v>323</v>
      </c>
      <c r="F16" t="s">
        <v>502</v>
      </c>
      <c r="G16" t="s">
        <v>324</v>
      </c>
      <c r="H16" t="s">
        <v>251</v>
      </c>
      <c r="I16" t="s">
        <v>354</v>
      </c>
      <c r="J16" t="s">
        <v>425</v>
      </c>
      <c r="K16" t="s">
        <v>354</v>
      </c>
    </row>
    <row r="17" spans="3:13">
      <c r="C17" t="s">
        <v>614</v>
      </c>
      <c r="D17" t="s">
        <v>249</v>
      </c>
      <c r="E17" t="s">
        <v>272</v>
      </c>
      <c r="F17" t="s">
        <v>273</v>
      </c>
      <c r="G17" t="s">
        <v>274</v>
      </c>
      <c r="H17" t="s">
        <v>252</v>
      </c>
      <c r="I17" t="s">
        <v>275</v>
      </c>
      <c r="J17" t="s">
        <v>411</v>
      </c>
      <c r="K17" t="s">
        <v>513</v>
      </c>
    </row>
    <row r="18" spans="3:13">
      <c r="C18" t="s">
        <v>691</v>
      </c>
      <c r="D18" t="s">
        <v>692</v>
      </c>
      <c r="E18" t="s">
        <v>354</v>
      </c>
      <c r="F18" t="s">
        <v>354</v>
      </c>
      <c r="G18" t="s">
        <v>251</v>
      </c>
      <c r="H18" t="s">
        <v>354</v>
      </c>
      <c r="I18" t="s">
        <v>690</v>
      </c>
      <c r="J18" t="s">
        <v>354</v>
      </c>
    </row>
    <row r="19" spans="3:13">
      <c r="C19" t="s">
        <v>530</v>
      </c>
      <c r="D19" t="s">
        <v>522</v>
      </c>
      <c r="E19" t="s">
        <v>532</v>
      </c>
      <c r="F19" t="s">
        <v>354</v>
      </c>
      <c r="G19" t="s">
        <v>253</v>
      </c>
      <c r="H19" t="s">
        <v>354</v>
      </c>
      <c r="I19" t="s">
        <v>531</v>
      </c>
      <c r="J19" t="s">
        <v>254</v>
      </c>
    </row>
    <row r="20" spans="3:13">
      <c r="C20" t="s">
        <v>354</v>
      </c>
      <c r="D20" t="s">
        <v>290</v>
      </c>
      <c r="E20" t="s">
        <v>292</v>
      </c>
      <c r="F20" t="s">
        <v>354</v>
      </c>
      <c r="G20" t="s">
        <v>252</v>
      </c>
      <c r="H20" t="s">
        <v>354</v>
      </c>
      <c r="I20" t="s">
        <v>415</v>
      </c>
      <c r="J20" t="s">
        <v>291</v>
      </c>
    </row>
    <row r="21" spans="3:13">
      <c r="C21" t="s">
        <v>436</v>
      </c>
      <c r="D21" t="s">
        <v>451</v>
      </c>
      <c r="E21" t="s">
        <v>539</v>
      </c>
      <c r="F21" t="s">
        <v>354</v>
      </c>
      <c r="G21" t="s">
        <v>433</v>
      </c>
      <c r="H21" t="s">
        <v>523</v>
      </c>
      <c r="I21" t="s">
        <v>452</v>
      </c>
      <c r="J21" t="s">
        <v>538</v>
      </c>
    </row>
    <row r="22" spans="3:13">
      <c r="C22" t="s">
        <v>354</v>
      </c>
      <c r="D22" t="s">
        <v>294</v>
      </c>
      <c r="E22" t="s">
        <v>536</v>
      </c>
      <c r="F22" t="s">
        <v>295</v>
      </c>
      <c r="G22" t="s">
        <v>252</v>
      </c>
      <c r="H22" t="s">
        <v>296</v>
      </c>
      <c r="I22" t="s">
        <v>416</v>
      </c>
      <c r="J22" t="s">
        <v>576</v>
      </c>
    </row>
    <row r="23" spans="3:13">
      <c r="C23" t="s">
        <v>716</v>
      </c>
      <c r="D23" t="s">
        <v>354</v>
      </c>
      <c r="E23" t="s">
        <v>329</v>
      </c>
      <c r="F23" t="s">
        <v>354</v>
      </c>
      <c r="G23" t="s">
        <v>354</v>
      </c>
      <c r="H23" t="s">
        <v>354</v>
      </c>
      <c r="I23" t="s">
        <v>426</v>
      </c>
      <c r="J23" t="s">
        <v>354</v>
      </c>
    </row>
    <row r="24" spans="3:13">
      <c r="C24" t="s">
        <v>341</v>
      </c>
      <c r="D24" t="s">
        <v>342</v>
      </c>
      <c r="E24" t="s">
        <v>345</v>
      </c>
      <c r="F24" t="s">
        <v>354</v>
      </c>
      <c r="G24" t="s">
        <v>253</v>
      </c>
      <c r="H24" t="s">
        <v>354</v>
      </c>
      <c r="I24" t="s">
        <v>343</v>
      </c>
      <c r="J24" t="s">
        <v>344</v>
      </c>
    </row>
    <row r="25" spans="3:13">
      <c r="C25" t="s">
        <v>318</v>
      </c>
      <c r="D25" t="s">
        <v>319</v>
      </c>
      <c r="E25" t="s">
        <v>321</v>
      </c>
      <c r="F25" t="s">
        <v>354</v>
      </c>
      <c r="G25" t="s">
        <v>251</v>
      </c>
      <c r="H25" t="s">
        <v>354</v>
      </c>
      <c r="I25" t="s">
        <v>424</v>
      </c>
      <c r="J25" t="s">
        <v>320</v>
      </c>
    </row>
    <row r="26" spans="3:13">
      <c r="C26" t="s">
        <v>303</v>
      </c>
      <c r="D26" t="s">
        <v>304</v>
      </c>
      <c r="E26" t="s">
        <v>537</v>
      </c>
      <c r="F26" t="s">
        <v>306</v>
      </c>
      <c r="G26" t="s">
        <v>251</v>
      </c>
      <c r="H26" t="s">
        <v>307</v>
      </c>
      <c r="I26" t="s">
        <v>419</v>
      </c>
      <c r="J26" t="s">
        <v>305</v>
      </c>
    </row>
    <row r="27" spans="3:13" ht="17" thickBot="1"/>
    <row r="28" spans="3:13" ht="34">
      <c r="D28" s="200" t="s">
        <v>596</v>
      </c>
      <c r="E28" s="200" t="s">
        <v>597</v>
      </c>
      <c r="F28" s="200" t="s">
        <v>237</v>
      </c>
      <c r="G28" s="200" t="s">
        <v>598</v>
      </c>
      <c r="H28" s="200" t="s">
        <v>262</v>
      </c>
      <c r="I28" s="199"/>
      <c r="M28" s="197" t="s">
        <v>615</v>
      </c>
    </row>
    <row r="29" spans="3:13" ht="239" thickBot="1">
      <c r="D29" s="88" t="s">
        <v>418</v>
      </c>
      <c r="E29" s="88" t="s">
        <v>646</v>
      </c>
      <c r="F29" s="88" t="s">
        <v>302</v>
      </c>
      <c r="G29" s="201" t="s">
        <v>662</v>
      </c>
      <c r="H29" s="88" t="s">
        <v>683</v>
      </c>
      <c r="M29" s="198" t="s">
        <v>616</v>
      </c>
    </row>
    <row r="30" spans="3:13" ht="170">
      <c r="D30" s="88" t="s">
        <v>285</v>
      </c>
      <c r="E30" s="88" t="s">
        <v>647</v>
      </c>
      <c r="F30" s="88" t="s">
        <v>289</v>
      </c>
      <c r="G30" s="201" t="s">
        <v>663</v>
      </c>
      <c r="H30" s="88" t="s">
        <v>684</v>
      </c>
      <c r="M30" s="195" t="s">
        <v>617</v>
      </c>
    </row>
    <row r="31" spans="3:13" ht="120" thickBot="1">
      <c r="D31" s="88" t="s">
        <v>607</v>
      </c>
      <c r="E31" s="88" t="s">
        <v>648</v>
      </c>
      <c r="F31" s="88" t="s">
        <v>284</v>
      </c>
      <c r="G31" s="201" t="s">
        <v>664</v>
      </c>
      <c r="H31" s="88" t="s">
        <v>685</v>
      </c>
      <c r="M31" s="198" t="s">
        <v>618</v>
      </c>
    </row>
    <row r="32" spans="3:13" ht="306">
      <c r="D32" s="88" t="s">
        <v>297</v>
      </c>
      <c r="E32" s="88" t="s">
        <v>658</v>
      </c>
      <c r="F32" s="88" t="s">
        <v>665</v>
      </c>
      <c r="G32" s="201" t="s">
        <v>666</v>
      </c>
      <c r="H32" s="88" t="s">
        <v>299</v>
      </c>
      <c r="M32" s="195" t="s">
        <v>619</v>
      </c>
    </row>
    <row r="33" spans="4:13" ht="154" thickBot="1">
      <c r="D33" s="88" t="s">
        <v>609</v>
      </c>
      <c r="E33" s="88" t="s">
        <v>649</v>
      </c>
      <c r="F33" s="88" t="s">
        <v>667</v>
      </c>
      <c r="G33" s="201" t="s">
        <v>668</v>
      </c>
      <c r="H33" s="88" t="s">
        <v>270</v>
      </c>
      <c r="M33" s="198" t="s">
        <v>618</v>
      </c>
    </row>
    <row r="34" spans="4:13" ht="238">
      <c r="D34" s="88" t="s">
        <v>610</v>
      </c>
      <c r="E34" s="88" t="s">
        <v>650</v>
      </c>
      <c r="F34" s="88" t="s">
        <v>669</v>
      </c>
      <c r="G34" s="201" t="s">
        <v>670</v>
      </c>
      <c r="H34" s="88" t="s">
        <v>354</v>
      </c>
      <c r="M34" s="195" t="s">
        <v>620</v>
      </c>
    </row>
    <row r="35" spans="4:13" ht="238">
      <c r="D35" s="88" t="s">
        <v>599</v>
      </c>
      <c r="E35" s="88" t="s">
        <v>651</v>
      </c>
      <c r="F35" s="88" t="s">
        <v>680</v>
      </c>
      <c r="G35" s="201" t="s">
        <v>671</v>
      </c>
      <c r="H35" s="88" t="s">
        <v>354</v>
      </c>
      <c r="M35" s="196" t="s">
        <v>618</v>
      </c>
    </row>
    <row r="36" spans="4:13" ht="170">
      <c r="D36" s="88" t="s">
        <v>600</v>
      </c>
      <c r="E36" s="88" t="s">
        <v>652</v>
      </c>
      <c r="F36" s="88" t="s">
        <v>681</v>
      </c>
      <c r="G36" s="201" t="s">
        <v>672</v>
      </c>
      <c r="H36" s="88" t="s">
        <v>354</v>
      </c>
      <c r="M36" s="195" t="s">
        <v>621</v>
      </c>
    </row>
    <row r="37" spans="4:13" ht="409.6">
      <c r="D37" s="88" t="s">
        <v>601</v>
      </c>
      <c r="E37" s="88" t="s">
        <v>659</v>
      </c>
      <c r="F37" s="88" t="s">
        <v>682</v>
      </c>
      <c r="G37" s="201" t="s">
        <v>420</v>
      </c>
      <c r="H37" s="88" t="s">
        <v>686</v>
      </c>
      <c r="M37" s="196" t="s">
        <v>618</v>
      </c>
    </row>
    <row r="38" spans="4:13" ht="409.6">
      <c r="D38" s="88" t="s">
        <v>602</v>
      </c>
      <c r="E38" s="88" t="s">
        <v>653</v>
      </c>
      <c r="F38" s="88" t="s">
        <v>437</v>
      </c>
      <c r="G38" s="201" t="s">
        <v>453</v>
      </c>
      <c r="H38" s="88" t="s">
        <v>278</v>
      </c>
      <c r="M38" s="195" t="s">
        <v>622</v>
      </c>
    </row>
    <row r="39" spans="4:13" ht="373" thickBot="1">
      <c r="D39" s="88" t="s">
        <v>603</v>
      </c>
      <c r="E39" s="88" t="s">
        <v>654</v>
      </c>
      <c r="F39" s="88" t="s">
        <v>673</v>
      </c>
      <c r="G39" s="201" t="s">
        <v>674</v>
      </c>
      <c r="H39" s="88" t="s">
        <v>354</v>
      </c>
      <c r="M39" s="198" t="s">
        <v>618</v>
      </c>
    </row>
    <row r="40" spans="4:13" ht="238">
      <c r="D40" s="88" t="s">
        <v>604</v>
      </c>
      <c r="E40" s="88" t="s">
        <v>660</v>
      </c>
      <c r="F40" s="88" t="s">
        <v>665</v>
      </c>
      <c r="G40" s="201" t="s">
        <v>675</v>
      </c>
      <c r="H40" s="88" t="s">
        <v>500</v>
      </c>
      <c r="M40" s="195" t="s">
        <v>623</v>
      </c>
    </row>
    <row r="41" spans="4:13" ht="239" thickBot="1">
      <c r="D41" s="88" t="s">
        <v>611</v>
      </c>
      <c r="E41" s="88" t="s">
        <v>655</v>
      </c>
      <c r="F41" s="88" t="s">
        <v>583</v>
      </c>
      <c r="G41" s="201" t="s">
        <v>676</v>
      </c>
      <c r="H41" s="88" t="s">
        <v>354</v>
      </c>
      <c r="M41" s="198" t="s">
        <v>616</v>
      </c>
    </row>
    <row r="42" spans="4:13" ht="187">
      <c r="D42" s="88" t="s">
        <v>612</v>
      </c>
      <c r="E42" s="88" t="s">
        <v>661</v>
      </c>
      <c r="F42" s="88" t="s">
        <v>580</v>
      </c>
      <c r="G42" s="201" t="s">
        <v>677</v>
      </c>
      <c r="H42" s="88" t="s">
        <v>354</v>
      </c>
      <c r="M42" s="195" t="s">
        <v>624</v>
      </c>
    </row>
    <row r="43" spans="4:13" ht="205" thickBot="1">
      <c r="D43" s="88" t="s">
        <v>613</v>
      </c>
      <c r="E43" s="88" t="s">
        <v>656</v>
      </c>
      <c r="F43" s="88" t="s">
        <v>354</v>
      </c>
      <c r="G43" s="201" t="s">
        <v>678</v>
      </c>
      <c r="H43" s="88" t="s">
        <v>687</v>
      </c>
      <c r="M43" s="198" t="s">
        <v>616</v>
      </c>
    </row>
    <row r="44" spans="4:13" ht="272">
      <c r="D44" s="88" t="s">
        <v>614</v>
      </c>
      <c r="E44" s="88" t="s">
        <v>657</v>
      </c>
      <c r="F44" s="88" t="s">
        <v>275</v>
      </c>
      <c r="G44" s="201" t="s">
        <v>679</v>
      </c>
      <c r="H44" s="88" t="s">
        <v>688</v>
      </c>
      <c r="M44" s="196" t="s">
        <v>625</v>
      </c>
    </row>
    <row r="45" spans="4:13" ht="69" thickBot="1">
      <c r="D45" s="88" t="s">
        <v>696</v>
      </c>
      <c r="E45" s="88" t="s">
        <v>707</v>
      </c>
      <c r="F45" s="88" t="s">
        <v>447</v>
      </c>
      <c r="G45" t="s">
        <v>700</v>
      </c>
      <c r="H45" s="88" t="s">
        <v>712</v>
      </c>
      <c r="M45" s="198" t="s">
        <v>616</v>
      </c>
    </row>
    <row r="46" spans="4:13" ht="34">
      <c r="D46" s="32" t="s">
        <v>697</v>
      </c>
      <c r="E46" s="88" t="s">
        <v>708</v>
      </c>
      <c r="F46" s="88" t="s">
        <v>706</v>
      </c>
      <c r="G46" t="s">
        <v>701</v>
      </c>
      <c r="H46" t="s">
        <v>254</v>
      </c>
      <c r="M46" s="195" t="s">
        <v>626</v>
      </c>
    </row>
    <row r="47" spans="4:13" ht="35" thickBot="1">
      <c r="D47" t="s">
        <v>698</v>
      </c>
      <c r="E47" s="202" t="s">
        <v>709</v>
      </c>
      <c r="F47" t="s">
        <v>702</v>
      </c>
      <c r="G47" t="s">
        <v>703</v>
      </c>
      <c r="H47" t="s">
        <v>713</v>
      </c>
      <c r="M47" s="198" t="s">
        <v>616</v>
      </c>
    </row>
    <row r="48" spans="4:13" ht="34">
      <c r="D48" s="32" t="s">
        <v>574</v>
      </c>
      <c r="E48" s="202" t="s">
        <v>710</v>
      </c>
      <c r="F48" t="s">
        <v>523</v>
      </c>
      <c r="G48" t="s">
        <v>704</v>
      </c>
      <c r="H48" t="s">
        <v>714</v>
      </c>
      <c r="M48" s="195" t="s">
        <v>627</v>
      </c>
    </row>
    <row r="49" spans="4:13" ht="68">
      <c r="D49" t="s">
        <v>699</v>
      </c>
      <c r="E49" s="202" t="s">
        <v>711</v>
      </c>
      <c r="F49" t="s">
        <v>296</v>
      </c>
      <c r="G49" t="s">
        <v>705</v>
      </c>
      <c r="H49" t="s">
        <v>576</v>
      </c>
      <c r="M49" s="196" t="s">
        <v>628</v>
      </c>
    </row>
    <row r="50" spans="4:13" ht="28">
      <c r="D50" t="s">
        <v>720</v>
      </c>
      <c r="F50" t="s">
        <v>721</v>
      </c>
      <c r="G50" t="s">
        <v>722</v>
      </c>
      <c r="H50" t="s">
        <v>354</v>
      </c>
      <c r="M50" s="195" t="s">
        <v>629</v>
      </c>
    </row>
    <row r="51" spans="4:13" ht="31" thickBot="1">
      <c r="D51" t="s">
        <v>718</v>
      </c>
      <c r="F51" t="s">
        <v>727</v>
      </c>
      <c r="G51" t="s">
        <v>723</v>
      </c>
      <c r="H51" t="s">
        <v>344</v>
      </c>
      <c r="M51" s="198" t="s">
        <v>630</v>
      </c>
    </row>
    <row r="52" spans="4:13" ht="42">
      <c r="D52" t="s">
        <v>719</v>
      </c>
      <c r="F52" t="s">
        <v>724</v>
      </c>
      <c r="G52" t="s">
        <v>725</v>
      </c>
      <c r="H52" t="s">
        <v>320</v>
      </c>
      <c r="M52" s="195" t="s">
        <v>631</v>
      </c>
    </row>
    <row r="53" spans="4:13" ht="17" thickBot="1">
      <c r="D53" t="s">
        <v>564</v>
      </c>
      <c r="F53" t="s">
        <v>293</v>
      </c>
      <c r="G53" t="s">
        <v>726</v>
      </c>
      <c r="H53" t="s">
        <v>305</v>
      </c>
      <c r="M53" s="198" t="s">
        <v>632</v>
      </c>
    </row>
    <row r="54" spans="4:13">
      <c r="M54" s="195" t="s">
        <v>633</v>
      </c>
    </row>
    <row r="55" spans="4:13" ht="17" thickBot="1">
      <c r="M55" s="198" t="s">
        <v>632</v>
      </c>
    </row>
    <row r="56" spans="4:13">
      <c r="M56" s="195" t="s">
        <v>634</v>
      </c>
    </row>
    <row r="57" spans="4:13">
      <c r="M57" s="196" t="s">
        <v>635</v>
      </c>
    </row>
    <row r="58" spans="4:13">
      <c r="M58" s="195" t="s">
        <v>636</v>
      </c>
    </row>
    <row r="59" spans="4:13" ht="31" thickBot="1">
      <c r="M59" s="198" t="s">
        <v>637</v>
      </c>
    </row>
    <row r="60" spans="4:13">
      <c r="M60" s="195" t="s">
        <v>638</v>
      </c>
    </row>
    <row r="61" spans="4:13" ht="31" thickBot="1">
      <c r="M61" s="198" t="s">
        <v>639</v>
      </c>
    </row>
    <row r="62" spans="4:13">
      <c r="M62" s="195" t="s">
        <v>640</v>
      </c>
    </row>
    <row r="63" spans="4:13" ht="30">
      <c r="M63" s="196" t="s">
        <v>618</v>
      </c>
    </row>
    <row r="64" spans="4:13">
      <c r="M64" s="195" t="s">
        <v>641</v>
      </c>
    </row>
    <row r="65" spans="13:13" ht="17" thickBot="1">
      <c r="M65" s="198" t="s">
        <v>632</v>
      </c>
    </row>
    <row r="66" spans="13:13">
      <c r="M66" s="195" t="s">
        <v>642</v>
      </c>
    </row>
    <row r="67" spans="13:13" ht="31" thickBot="1">
      <c r="M67" s="198" t="s">
        <v>643</v>
      </c>
    </row>
    <row r="68" spans="13:13">
      <c r="M68" s="196" t="s">
        <v>644</v>
      </c>
    </row>
    <row r="69" spans="13:13" ht="31" thickBot="1">
      <c r="M69" s="198" t="s">
        <v>645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479671-FEB7-BB48-97EC-BDC2EC4B07A7}">
  <sheetPr codeName="Sheet3"/>
  <dimension ref="A1:S15"/>
  <sheetViews>
    <sheetView topLeftCell="A6" zoomScale="200" workbookViewId="0">
      <selection activeCell="E18" sqref="E18"/>
    </sheetView>
  </sheetViews>
  <sheetFormatPr baseColWidth="10" defaultRowHeight="16"/>
  <cols>
    <col min="2" max="2" width="14" customWidth="1"/>
    <col min="3" max="3" width="17.5" customWidth="1"/>
    <col min="6" max="7" width="12.83203125" bestFit="1" customWidth="1"/>
    <col min="10" max="10" width="24.5" customWidth="1"/>
    <col min="12" max="12" width="25.83203125" customWidth="1"/>
    <col min="13" max="13" width="27.83203125" customWidth="1"/>
    <col min="14" max="14" width="22.1640625" customWidth="1"/>
    <col min="15" max="15" width="21.83203125" customWidth="1"/>
    <col min="16" max="16" width="18.83203125" customWidth="1"/>
  </cols>
  <sheetData>
    <row r="1" spans="1:19" s="110" customFormat="1" ht="27.5" customHeight="1">
      <c r="A1" s="106"/>
      <c r="B1" s="106"/>
      <c r="C1" s="106"/>
      <c r="D1" s="203" t="s">
        <v>515</v>
      </c>
      <c r="E1" s="203"/>
      <c r="F1" s="203"/>
      <c r="G1" s="203"/>
      <c r="H1" s="203"/>
      <c r="I1" s="203"/>
      <c r="J1" s="203"/>
      <c r="K1" s="106"/>
      <c r="L1" s="107"/>
      <c r="M1" s="108"/>
      <c r="N1" s="108"/>
      <c r="O1" s="109"/>
      <c r="P1" s="108"/>
      <c r="R1" s="120" t="s">
        <v>368</v>
      </c>
      <c r="S1" s="119" t="s">
        <v>369</v>
      </c>
    </row>
    <row r="2" spans="1:19" s="112" customFormat="1" ht="29">
      <c r="A2" s="122" t="s">
        <v>372</v>
      </c>
      <c r="B2" s="122" t="s">
        <v>370</v>
      </c>
      <c r="C2" s="122" t="s">
        <v>371</v>
      </c>
      <c r="D2" s="122" t="s">
        <v>260</v>
      </c>
      <c r="E2" s="123" t="s">
        <v>373</v>
      </c>
      <c r="F2" s="122" t="s">
        <v>374</v>
      </c>
      <c r="G2" s="122" t="s">
        <v>375</v>
      </c>
      <c r="H2" s="122" t="s">
        <v>376</v>
      </c>
      <c r="I2" s="122" t="s">
        <v>377</v>
      </c>
      <c r="J2" s="122" t="s">
        <v>378</v>
      </c>
      <c r="K2" s="125" t="s">
        <v>409</v>
      </c>
      <c r="L2" s="111" t="s">
        <v>410</v>
      </c>
      <c r="M2" s="122" t="s">
        <v>379</v>
      </c>
      <c r="N2" s="124" t="s">
        <v>380</v>
      </c>
      <c r="O2" s="122" t="s">
        <v>381</v>
      </c>
      <c r="P2" s="122" t="s">
        <v>382</v>
      </c>
    </row>
    <row r="3" spans="1:19" s="110" customFormat="1" ht="15">
      <c r="A3" s="187">
        <v>1</v>
      </c>
      <c r="B3" s="187" t="s">
        <v>495</v>
      </c>
      <c r="C3" s="187" t="s">
        <v>315</v>
      </c>
      <c r="D3" s="120" t="s">
        <v>253</v>
      </c>
      <c r="E3" s="188">
        <v>46140</v>
      </c>
      <c r="F3" s="120" t="s">
        <v>438</v>
      </c>
      <c r="G3" s="120"/>
      <c r="H3" s="187" t="s">
        <v>496</v>
      </c>
      <c r="I3" s="120" t="s">
        <v>369</v>
      </c>
      <c r="J3" s="120" t="s">
        <v>349</v>
      </c>
      <c r="K3" s="189"/>
      <c r="L3" s="187"/>
      <c r="M3" s="120"/>
      <c r="N3" s="190"/>
      <c r="O3" s="120"/>
      <c r="P3" s="120"/>
    </row>
    <row r="4" spans="1:19" s="170" customFormat="1" ht="90">
      <c r="A4" s="166">
        <v>2</v>
      </c>
      <c r="B4" s="167" t="s">
        <v>325</v>
      </c>
      <c r="C4" s="166" t="s">
        <v>326</v>
      </c>
      <c r="D4" s="167" t="s">
        <v>253</v>
      </c>
      <c r="E4" s="171">
        <v>46140</v>
      </c>
      <c r="F4" s="167" t="s">
        <v>438</v>
      </c>
      <c r="G4" s="167"/>
      <c r="H4" s="166" t="s">
        <v>496</v>
      </c>
      <c r="I4" s="167" t="s">
        <v>369</v>
      </c>
      <c r="J4" s="166" t="s">
        <v>497</v>
      </c>
      <c r="K4" s="168"/>
      <c r="L4" s="166"/>
      <c r="M4" s="167"/>
      <c r="N4" s="169"/>
      <c r="O4" s="167"/>
      <c r="P4" s="167"/>
    </row>
    <row r="5" spans="1:19" s="110" customFormat="1" ht="60">
      <c r="A5" s="187">
        <v>3</v>
      </c>
      <c r="B5" s="120" t="s">
        <v>333</v>
      </c>
      <c r="C5" s="187" t="s">
        <v>334</v>
      </c>
      <c r="D5" s="120" t="s">
        <v>433</v>
      </c>
      <c r="E5" s="188">
        <v>46140</v>
      </c>
      <c r="F5" s="120" t="s">
        <v>438</v>
      </c>
      <c r="G5" s="120"/>
      <c r="H5" s="187" t="s">
        <v>496</v>
      </c>
      <c r="I5" s="120" t="s">
        <v>369</v>
      </c>
      <c r="J5" s="120" t="s">
        <v>498</v>
      </c>
      <c r="K5" s="189"/>
      <c r="L5" s="187"/>
      <c r="M5" s="120"/>
      <c r="N5" s="190"/>
      <c r="O5" s="120"/>
      <c r="P5" s="120"/>
    </row>
    <row r="6" spans="1:19" s="170" customFormat="1" ht="44">
      <c r="A6" s="166">
        <v>4</v>
      </c>
      <c r="B6" s="167" t="s">
        <v>322</v>
      </c>
      <c r="C6" s="166" t="s">
        <v>323</v>
      </c>
      <c r="D6" s="167" t="s">
        <v>253</v>
      </c>
      <c r="E6" s="171">
        <v>46140</v>
      </c>
      <c r="F6" s="167" t="s">
        <v>438</v>
      </c>
      <c r="G6" s="167"/>
      <c r="H6" s="167" t="s">
        <v>439</v>
      </c>
      <c r="I6" s="167" t="s">
        <v>369</v>
      </c>
      <c r="J6" s="167" t="s">
        <v>499</v>
      </c>
      <c r="K6" s="168"/>
      <c r="L6" s="166"/>
      <c r="M6" s="167"/>
      <c r="N6" s="169"/>
      <c r="O6" s="167"/>
      <c r="P6" s="167"/>
    </row>
    <row r="7" spans="1:19" s="110" customFormat="1" ht="45">
      <c r="A7" s="187">
        <v>5</v>
      </c>
      <c r="B7" s="120" t="s">
        <v>338</v>
      </c>
      <c r="C7" s="187" t="s">
        <v>339</v>
      </c>
      <c r="D7" s="120" t="s">
        <v>455</v>
      </c>
      <c r="E7" s="188">
        <v>46143</v>
      </c>
      <c r="F7" s="120" t="s">
        <v>507</v>
      </c>
      <c r="G7" s="120"/>
      <c r="H7" s="187" t="s">
        <v>496</v>
      </c>
      <c r="I7" s="120" t="s">
        <v>369</v>
      </c>
      <c r="J7" s="120" t="s">
        <v>516</v>
      </c>
      <c r="K7" s="189"/>
      <c r="L7" s="187"/>
      <c r="M7" s="120"/>
      <c r="N7" s="190"/>
      <c r="O7" s="120"/>
      <c r="P7" s="120"/>
    </row>
    <row r="8" spans="1:19" s="170" customFormat="1" ht="15">
      <c r="A8" s="166">
        <v>6</v>
      </c>
      <c r="B8" s="167" t="s">
        <v>431</v>
      </c>
      <c r="C8" s="166" t="s">
        <v>432</v>
      </c>
      <c r="D8" s="167" t="s">
        <v>433</v>
      </c>
      <c r="E8" s="171">
        <v>46143</v>
      </c>
      <c r="F8" s="167" t="s">
        <v>507</v>
      </c>
      <c r="G8" s="167"/>
      <c r="H8" s="166" t="s">
        <v>496</v>
      </c>
      <c r="I8" s="167" t="s">
        <v>369</v>
      </c>
      <c r="J8" s="166" t="s">
        <v>517</v>
      </c>
      <c r="K8" s="168"/>
      <c r="L8" s="166"/>
      <c r="M8" s="167"/>
      <c r="N8" s="169"/>
      <c r="O8" s="167"/>
      <c r="P8" s="167"/>
    </row>
    <row r="9" spans="1:19" s="110" customFormat="1" ht="88">
      <c r="A9" s="187">
        <v>7</v>
      </c>
      <c r="B9" s="120" t="s">
        <v>417</v>
      </c>
      <c r="C9" s="187" t="s">
        <v>300</v>
      </c>
      <c r="D9" s="120" t="s">
        <v>455</v>
      </c>
      <c r="E9" s="188">
        <v>46143</v>
      </c>
      <c r="F9" s="120" t="s">
        <v>507</v>
      </c>
      <c r="G9" s="120"/>
      <c r="H9" s="187" t="s">
        <v>496</v>
      </c>
      <c r="I9" s="120" t="s">
        <v>369</v>
      </c>
      <c r="J9" s="187" t="s">
        <v>518</v>
      </c>
      <c r="K9" s="189"/>
      <c r="L9" s="187"/>
      <c r="M9" s="120"/>
      <c r="N9" s="190"/>
      <c r="O9" s="120"/>
      <c r="P9" s="120"/>
    </row>
    <row r="10" spans="1:19" s="170" customFormat="1" ht="45">
      <c r="A10" s="166">
        <v>8</v>
      </c>
      <c r="B10" s="167" t="s">
        <v>338</v>
      </c>
      <c r="C10" s="166" t="s">
        <v>339</v>
      </c>
      <c r="D10" s="167" t="s">
        <v>455</v>
      </c>
      <c r="E10" s="171">
        <v>46143</v>
      </c>
      <c r="F10" s="167" t="s">
        <v>507</v>
      </c>
      <c r="G10" s="167"/>
      <c r="H10" s="166" t="s">
        <v>496</v>
      </c>
      <c r="I10" s="167" t="s">
        <v>369</v>
      </c>
      <c r="J10" s="167" t="s">
        <v>516</v>
      </c>
      <c r="K10" s="168"/>
      <c r="L10" s="166"/>
      <c r="M10" s="167"/>
      <c r="N10" s="169"/>
      <c r="O10" s="167"/>
      <c r="P10" s="167"/>
    </row>
    <row r="11" spans="1:19" s="110" customFormat="1" ht="15">
      <c r="A11" s="187">
        <v>9</v>
      </c>
      <c r="B11" s="120" t="s">
        <v>431</v>
      </c>
      <c r="C11" s="187" t="s">
        <v>432</v>
      </c>
      <c r="D11" s="120" t="s">
        <v>433</v>
      </c>
      <c r="E11" s="188">
        <v>46143</v>
      </c>
      <c r="F11" s="120" t="s">
        <v>507</v>
      </c>
      <c r="G11" s="120"/>
      <c r="H11" s="187" t="s">
        <v>496</v>
      </c>
      <c r="I11" s="120" t="s">
        <v>369</v>
      </c>
      <c r="J11" s="187" t="s">
        <v>517</v>
      </c>
      <c r="K11" s="189"/>
      <c r="L11" s="187"/>
      <c r="M11" s="120"/>
      <c r="N11" s="190"/>
      <c r="O11" s="120"/>
      <c r="P11" s="120"/>
    </row>
    <row r="12" spans="1:19" s="170" customFormat="1" ht="88">
      <c r="A12" s="166">
        <v>10</v>
      </c>
      <c r="B12" s="167" t="s">
        <v>417</v>
      </c>
      <c r="C12" s="166" t="s">
        <v>300</v>
      </c>
      <c r="D12" s="167" t="s">
        <v>455</v>
      </c>
      <c r="E12" s="171">
        <v>46143</v>
      </c>
      <c r="F12" s="167" t="s">
        <v>507</v>
      </c>
      <c r="G12" s="167"/>
      <c r="H12" s="166" t="s">
        <v>496</v>
      </c>
      <c r="I12" s="167" t="s">
        <v>369</v>
      </c>
      <c r="J12" s="166" t="s">
        <v>518</v>
      </c>
      <c r="K12" s="168"/>
      <c r="L12" s="166"/>
      <c r="M12" s="167"/>
      <c r="N12" s="169"/>
      <c r="O12" s="167"/>
      <c r="P12" s="167"/>
    </row>
    <row r="13" spans="1:19" s="110" customFormat="1" ht="15">
      <c r="A13" s="187">
        <v>11</v>
      </c>
      <c r="B13" s="120" t="s">
        <v>508</v>
      </c>
      <c r="C13" s="187" t="s">
        <v>514</v>
      </c>
      <c r="D13" s="120" t="s">
        <v>353</v>
      </c>
      <c r="E13" s="188">
        <v>46154</v>
      </c>
      <c r="F13" s="120" t="s">
        <v>504</v>
      </c>
      <c r="G13" s="120"/>
      <c r="H13" s="187" t="s">
        <v>496</v>
      </c>
      <c r="I13" s="120" t="s">
        <v>368</v>
      </c>
      <c r="J13" s="187"/>
      <c r="K13" s="189"/>
      <c r="L13" s="187"/>
      <c r="M13" s="120"/>
      <c r="N13" s="190"/>
      <c r="O13" s="120"/>
      <c r="P13" s="120"/>
    </row>
    <row r="14" spans="1:19" s="170" customFormat="1" ht="60">
      <c r="A14" s="166">
        <v>12</v>
      </c>
      <c r="B14" s="167" t="s">
        <v>249</v>
      </c>
      <c r="C14" s="166" t="s">
        <v>272</v>
      </c>
      <c r="D14" s="167" t="s">
        <v>252</v>
      </c>
      <c r="E14" s="171">
        <v>46155</v>
      </c>
      <c r="F14" s="167" t="s">
        <v>504</v>
      </c>
      <c r="G14" s="167" t="s">
        <v>519</v>
      </c>
      <c r="H14" s="166" t="s">
        <v>496</v>
      </c>
      <c r="I14" s="167" t="s">
        <v>368</v>
      </c>
      <c r="J14" s="166" t="s">
        <v>520</v>
      </c>
      <c r="K14" s="168"/>
      <c r="L14" s="166"/>
      <c r="M14" s="167"/>
      <c r="N14" s="169"/>
      <c r="O14" s="167"/>
      <c r="P14" s="167"/>
    </row>
    <row r="15" spans="1:19" s="118" customFormat="1" ht="14">
      <c r="A15" s="126" t="s">
        <v>408</v>
      </c>
      <c r="B15" s="113"/>
      <c r="C15" s="113"/>
      <c r="D15" s="114"/>
      <c r="E15" s="113"/>
      <c r="F15" s="115"/>
      <c r="G15" s="113"/>
      <c r="H15" s="113"/>
      <c r="I15" s="113"/>
      <c r="J15" s="113"/>
      <c r="K15" s="113"/>
      <c r="L15" s="116"/>
      <c r="M15" s="115"/>
      <c r="N15" s="115"/>
      <c r="O15" s="117"/>
      <c r="P15" s="115"/>
    </row>
  </sheetData>
  <autoFilter ref="A2:P2" xr:uid="{59479671-FEB7-BB48-97EC-BDC2EC4B07A7}"/>
  <sortState xmlns:xlrd2="http://schemas.microsoft.com/office/spreadsheetml/2017/richdata2" ref="A3:J15">
    <sortCondition ref="E3:E15"/>
  </sortState>
  <mergeCells count="1">
    <mergeCell ref="D1:J1"/>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E329"/>
  <sheetViews>
    <sheetView tabSelected="1" topLeftCell="A2" zoomScale="75" zoomScaleNormal="150" workbookViewId="0">
      <selection activeCell="D4" sqref="D4"/>
    </sheetView>
  </sheetViews>
  <sheetFormatPr baseColWidth="10" defaultRowHeight="16"/>
  <cols>
    <col min="2" max="2" width="12.1640625" customWidth="1"/>
    <col min="3" max="3" width="17.5" customWidth="1"/>
    <col min="4" max="4" width="23.83203125" customWidth="1"/>
    <col min="5" max="5" width="15.1640625" customWidth="1"/>
    <col min="6" max="6" width="64.33203125" customWidth="1"/>
    <col min="7" max="7" width="35.83203125" customWidth="1"/>
    <col min="8" max="8" width="31" customWidth="1"/>
    <col min="9" max="9" width="25.5" customWidth="1"/>
  </cols>
  <sheetData>
    <row r="1" spans="1:18" ht="33.75" customHeight="1">
      <c r="A1" s="127"/>
      <c r="B1" s="127"/>
      <c r="C1" s="128" t="s">
        <v>255</v>
      </c>
      <c r="D1" s="5"/>
      <c r="E1" s="129"/>
      <c r="F1" s="130"/>
      <c r="G1" s="127"/>
      <c r="H1" s="127"/>
      <c r="I1" s="127"/>
      <c r="J1" s="127"/>
      <c r="K1" s="127"/>
      <c r="L1" s="127"/>
      <c r="M1" s="127"/>
      <c r="N1" s="127"/>
      <c r="O1" s="127"/>
      <c r="P1" s="127"/>
      <c r="Q1" s="127"/>
      <c r="R1" s="127"/>
    </row>
    <row r="2" spans="1:18" ht="60.25" customHeight="1">
      <c r="A2" s="131" t="s">
        <v>256</v>
      </c>
      <c r="B2" s="131" t="s">
        <v>257</v>
      </c>
      <c r="C2" s="131" t="s">
        <v>258</v>
      </c>
      <c r="D2" s="131" t="s">
        <v>259</v>
      </c>
      <c r="E2" s="129" t="s">
        <v>260</v>
      </c>
      <c r="F2" s="132" t="s">
        <v>261</v>
      </c>
      <c r="G2" s="131" t="s">
        <v>262</v>
      </c>
      <c r="H2" s="131" t="s">
        <v>263</v>
      </c>
      <c r="I2" s="131" t="s">
        <v>264</v>
      </c>
      <c r="J2" s="133" t="s">
        <v>265</v>
      </c>
      <c r="K2" s="133" t="s">
        <v>237</v>
      </c>
      <c r="L2" s="133" t="s">
        <v>266</v>
      </c>
      <c r="M2" s="133" t="s">
        <v>267</v>
      </c>
      <c r="N2" s="133" t="s">
        <v>268</v>
      </c>
      <c r="O2" s="133" t="s">
        <v>269</v>
      </c>
      <c r="P2" s="133"/>
      <c r="Q2" s="133"/>
      <c r="R2" s="133"/>
    </row>
    <row r="3" spans="1:18" ht="186.75" customHeight="1">
      <c r="A3" s="129"/>
      <c r="B3" s="129"/>
      <c r="C3" s="129"/>
      <c r="D3" s="129"/>
      <c r="E3" s="129"/>
      <c r="F3" s="129"/>
      <c r="G3" s="172"/>
      <c r="H3" s="146"/>
      <c r="I3" s="129"/>
      <c r="J3" s="129"/>
      <c r="K3" s="129"/>
      <c r="L3" s="129"/>
      <c r="M3" s="129"/>
      <c r="N3" s="129"/>
      <c r="O3" s="129"/>
      <c r="P3" s="129"/>
      <c r="Q3" s="129"/>
      <c r="R3" s="129"/>
    </row>
    <row r="4" spans="1:18" ht="186.75" customHeight="1">
      <c r="A4" s="129"/>
      <c r="B4" s="129"/>
      <c r="C4" s="129"/>
      <c r="D4" s="129"/>
      <c r="E4" s="135"/>
      <c r="F4" s="129"/>
      <c r="G4" s="129"/>
      <c r="H4" s="129"/>
      <c r="I4" s="129"/>
      <c r="J4" s="129"/>
      <c r="K4" s="129"/>
      <c r="L4" s="129"/>
      <c r="M4" s="129"/>
      <c r="N4" s="129"/>
      <c r="O4" s="129"/>
      <c r="P4" s="129"/>
      <c r="Q4" s="129"/>
      <c r="R4" s="129"/>
    </row>
    <row r="5" spans="1:18" ht="266.75" customHeight="1">
      <c r="A5" s="129"/>
      <c r="B5" s="134"/>
      <c r="C5" s="129"/>
      <c r="D5" s="7"/>
      <c r="E5" s="10"/>
      <c r="F5" s="129"/>
      <c r="G5" s="129"/>
      <c r="H5" s="129"/>
      <c r="I5" s="148"/>
      <c r="J5" s="129"/>
      <c r="K5" s="140"/>
      <c r="L5" s="129"/>
      <c r="M5" s="129"/>
      <c r="N5" s="129"/>
      <c r="O5" s="129"/>
      <c r="P5" s="129"/>
      <c r="Q5" s="129"/>
      <c r="R5" s="129"/>
    </row>
    <row r="6" spans="1:18" ht="133.25" customHeight="1">
      <c r="A6" s="129"/>
      <c r="B6" s="129"/>
      <c r="C6" s="129"/>
      <c r="D6" s="129"/>
      <c r="E6" s="135"/>
      <c r="F6" s="129"/>
      <c r="G6" s="129"/>
      <c r="H6" s="129"/>
      <c r="I6" s="129"/>
      <c r="J6" s="129"/>
      <c r="K6" s="129"/>
      <c r="L6" s="129"/>
      <c r="M6" s="129"/>
      <c r="N6" s="129"/>
      <c r="O6" s="129"/>
      <c r="P6" s="129"/>
      <c r="Q6" s="129"/>
      <c r="R6" s="129"/>
    </row>
    <row r="7" spans="1:18" ht="133.25" customHeight="1">
      <c r="A7" s="129"/>
      <c r="B7" s="129"/>
      <c r="C7" s="129"/>
      <c r="D7" s="129"/>
      <c r="E7" s="129"/>
      <c r="F7" s="129"/>
      <c r="G7" s="129"/>
      <c r="H7" s="129"/>
      <c r="I7" s="129"/>
      <c r="J7" s="129"/>
      <c r="K7" s="129"/>
      <c r="L7" s="129"/>
      <c r="M7" s="129"/>
      <c r="N7" s="129"/>
      <c r="O7" s="129"/>
      <c r="P7" s="129"/>
      <c r="Q7" s="129"/>
      <c r="R7" s="129"/>
    </row>
    <row r="8" spans="1:18" ht="160" customHeight="1">
      <c r="A8" s="129"/>
      <c r="B8" s="129"/>
      <c r="C8" s="129"/>
      <c r="D8" s="129"/>
      <c r="E8" s="129"/>
      <c r="F8" s="129"/>
      <c r="G8" s="129"/>
      <c r="H8" s="129"/>
      <c r="I8" s="129"/>
      <c r="J8" s="129"/>
      <c r="K8" s="129"/>
      <c r="L8" s="129"/>
      <c r="M8" s="129"/>
      <c r="N8" s="129"/>
      <c r="O8" s="129"/>
      <c r="P8" s="129"/>
      <c r="Q8" s="129"/>
      <c r="R8" s="129"/>
    </row>
    <row r="9" spans="1:18" ht="106.75" customHeight="1">
      <c r="A9" s="129"/>
      <c r="B9" s="129"/>
      <c r="C9" s="129"/>
      <c r="D9" s="129"/>
      <c r="E9" s="135"/>
      <c r="F9" s="129"/>
      <c r="G9" s="129"/>
      <c r="H9" s="129"/>
      <c r="I9" s="129"/>
      <c r="J9" s="129"/>
      <c r="K9" s="129"/>
      <c r="L9" s="129"/>
      <c r="M9" s="129"/>
      <c r="N9" s="129"/>
      <c r="O9" s="129"/>
      <c r="P9" s="129"/>
      <c r="Q9" s="129"/>
      <c r="R9" s="129"/>
    </row>
    <row r="10" spans="1:18" ht="186.75" customHeight="1">
      <c r="A10" s="129"/>
      <c r="B10" s="129"/>
      <c r="C10" s="129"/>
      <c r="D10" s="129"/>
      <c r="E10" s="129"/>
      <c r="F10" s="129"/>
      <c r="G10" s="129"/>
      <c r="H10" s="129"/>
      <c r="I10" s="129"/>
      <c r="J10" s="129"/>
      <c r="K10" s="141"/>
      <c r="L10" s="129"/>
      <c r="M10" s="129"/>
      <c r="N10" s="129"/>
      <c r="O10" s="129"/>
      <c r="P10" s="129"/>
      <c r="Q10" s="129"/>
      <c r="R10" s="129"/>
    </row>
    <row r="11" spans="1:18" ht="133.25" customHeight="1">
      <c r="A11" s="129"/>
      <c r="B11" s="134"/>
      <c r="C11" s="129"/>
      <c r="D11" s="129"/>
      <c r="E11" s="135"/>
      <c r="F11" s="129"/>
      <c r="G11" s="129"/>
      <c r="H11" s="129"/>
      <c r="I11" s="129"/>
      <c r="J11" s="129"/>
      <c r="K11" s="129"/>
      <c r="L11" s="129"/>
      <c r="M11" s="23"/>
      <c r="N11" s="8"/>
      <c r="O11" s="129"/>
      <c r="P11" s="129"/>
      <c r="Q11" s="129"/>
      <c r="R11" s="129"/>
    </row>
    <row r="12" spans="1:18" ht="133.25" customHeight="1">
      <c r="A12" s="129"/>
      <c r="B12" s="129"/>
      <c r="C12" s="129"/>
      <c r="D12" s="129"/>
      <c r="E12" s="129"/>
      <c r="F12" s="129"/>
      <c r="G12" s="129"/>
      <c r="H12" s="129"/>
      <c r="I12" s="129"/>
      <c r="J12" s="129"/>
      <c r="K12" s="129"/>
      <c r="L12" s="129"/>
      <c r="M12" s="8"/>
      <c r="N12" s="8"/>
      <c r="O12" s="129"/>
      <c r="P12" s="129"/>
      <c r="Q12" s="129"/>
      <c r="R12" s="129"/>
    </row>
    <row r="13" spans="1:18" ht="133.25" customHeight="1">
      <c r="A13" s="129"/>
      <c r="B13" s="129"/>
      <c r="C13" s="129"/>
      <c r="D13" s="129"/>
      <c r="E13" s="129"/>
      <c r="F13" s="129"/>
      <c r="G13" s="129"/>
      <c r="H13" s="129"/>
      <c r="I13" s="129"/>
      <c r="J13" s="129"/>
      <c r="K13" s="129"/>
      <c r="L13" s="129"/>
      <c r="M13" s="8"/>
      <c r="N13" s="8"/>
      <c r="O13" s="129"/>
      <c r="P13" s="129"/>
      <c r="Q13" s="129"/>
      <c r="R13" s="129"/>
    </row>
    <row r="14" spans="1:18" ht="133.25" customHeight="1">
      <c r="A14" s="129"/>
      <c r="B14" s="137"/>
      <c r="C14" s="129"/>
      <c r="D14" s="129"/>
      <c r="E14" s="129"/>
      <c r="F14" s="129"/>
      <c r="G14" s="129"/>
      <c r="H14" s="129"/>
      <c r="I14" s="129"/>
      <c r="J14" s="129"/>
      <c r="K14" s="129"/>
      <c r="L14" s="129"/>
      <c r="M14" s="129"/>
      <c r="N14" s="129"/>
      <c r="O14" s="129"/>
      <c r="P14" s="129"/>
      <c r="Q14" s="129"/>
      <c r="R14" s="129"/>
    </row>
    <row r="15" spans="1:18" ht="133.25" customHeight="1">
      <c r="A15" s="129"/>
      <c r="B15" s="137"/>
      <c r="C15" s="129"/>
      <c r="D15" s="129"/>
      <c r="E15" s="129"/>
      <c r="F15" s="129"/>
      <c r="G15" s="129"/>
      <c r="H15" s="129"/>
      <c r="I15" s="129"/>
      <c r="J15" s="129"/>
      <c r="K15" s="129"/>
      <c r="L15" s="129"/>
      <c r="M15" s="129"/>
      <c r="N15" s="129"/>
      <c r="O15" s="129"/>
      <c r="P15" s="129"/>
      <c r="Q15" s="129"/>
      <c r="R15" s="129"/>
    </row>
    <row r="16" spans="1:18" ht="106.75" customHeight="1">
      <c r="A16" s="129"/>
      <c r="B16" s="129"/>
      <c r="C16" s="129"/>
      <c r="D16" s="129"/>
      <c r="E16" s="129"/>
      <c r="F16" s="129"/>
      <c r="G16" s="129"/>
      <c r="H16" s="129"/>
      <c r="I16" s="129"/>
      <c r="J16" s="129"/>
      <c r="K16" s="129"/>
      <c r="L16" s="129"/>
      <c r="M16" s="129"/>
      <c r="N16" s="129"/>
      <c r="O16" s="129"/>
      <c r="P16" s="129"/>
      <c r="Q16" s="129"/>
      <c r="R16" s="129"/>
    </row>
    <row r="17" spans="1:18" ht="106.75" customHeight="1">
      <c r="A17" s="129"/>
      <c r="B17" s="129"/>
      <c r="C17" s="129"/>
      <c r="D17" s="129"/>
      <c r="E17" s="129"/>
      <c r="F17" s="129"/>
      <c r="G17" s="129"/>
      <c r="H17" s="129"/>
      <c r="I17" s="129"/>
      <c r="J17" s="129"/>
      <c r="K17" s="129"/>
      <c r="L17" s="129"/>
      <c r="M17" s="129"/>
      <c r="N17" s="129"/>
      <c r="O17" s="129"/>
      <c r="P17" s="129"/>
      <c r="Q17" s="129"/>
      <c r="R17" s="129"/>
    </row>
    <row r="18" spans="1:18" ht="186.75" customHeight="1">
      <c r="A18" s="129"/>
      <c r="B18" s="129"/>
      <c r="C18" s="129"/>
      <c r="D18" s="129"/>
      <c r="E18" s="135"/>
      <c r="F18" s="129"/>
      <c r="G18" s="129"/>
      <c r="H18" s="129"/>
      <c r="I18" s="129"/>
      <c r="J18" s="129"/>
      <c r="K18" s="129"/>
      <c r="L18" s="129"/>
      <c r="M18" s="129"/>
      <c r="N18" s="129"/>
      <c r="O18" s="129"/>
      <c r="P18" s="129"/>
      <c r="Q18" s="129"/>
      <c r="R18" s="129"/>
    </row>
    <row r="19" spans="1:18" ht="106.75" customHeight="1">
      <c r="A19" s="129"/>
      <c r="B19" s="129"/>
      <c r="C19" s="129"/>
      <c r="D19" s="129"/>
      <c r="E19" s="129"/>
      <c r="F19" s="129"/>
      <c r="G19" s="129"/>
      <c r="H19" s="129"/>
      <c r="I19" s="129"/>
      <c r="J19" s="129"/>
      <c r="K19" s="129"/>
      <c r="L19" s="129"/>
      <c r="M19" s="129"/>
      <c r="N19" s="129"/>
      <c r="O19" s="129"/>
      <c r="P19" s="129"/>
      <c r="Q19" s="129"/>
      <c r="R19" s="129"/>
    </row>
    <row r="20" spans="1:18" ht="133.25" customHeight="1">
      <c r="A20" s="129"/>
      <c r="B20" s="129"/>
      <c r="C20" s="129"/>
      <c r="D20" s="20"/>
      <c r="E20" s="129"/>
      <c r="F20" s="157"/>
      <c r="G20" s="129"/>
      <c r="H20" s="129"/>
      <c r="I20" s="140"/>
      <c r="J20" s="129"/>
      <c r="K20" s="141"/>
      <c r="L20" s="129"/>
      <c r="M20" s="129"/>
      <c r="N20" s="129"/>
      <c r="O20" s="129"/>
      <c r="P20" s="129"/>
      <c r="Q20" s="129"/>
      <c r="R20" s="129"/>
    </row>
    <row r="21" spans="1:18" ht="106.75" customHeight="1">
      <c r="A21" s="129"/>
      <c r="B21" s="129"/>
      <c r="C21" s="129"/>
      <c r="D21" s="135"/>
      <c r="E21" s="129"/>
      <c r="F21" s="129"/>
      <c r="G21" s="129"/>
      <c r="H21" s="129"/>
      <c r="I21" s="129"/>
      <c r="J21" s="129"/>
      <c r="K21" s="129"/>
      <c r="L21" s="129"/>
      <c r="M21" s="129"/>
      <c r="N21" s="129"/>
      <c r="O21" s="129"/>
      <c r="P21" s="129"/>
      <c r="Q21" s="129"/>
      <c r="R21" s="129"/>
    </row>
    <row r="22" spans="1:18" ht="160" customHeight="1">
      <c r="A22" s="129"/>
      <c r="B22" s="137"/>
      <c r="C22" s="129"/>
      <c r="D22" s="7"/>
      <c r="E22" s="129"/>
      <c r="F22" s="12"/>
      <c r="G22" s="151"/>
      <c r="H22" s="129"/>
      <c r="I22" s="151"/>
      <c r="J22" s="129"/>
      <c r="K22" s="154"/>
      <c r="L22" s="129"/>
      <c r="M22" s="129"/>
      <c r="N22" s="129"/>
      <c r="O22" s="129"/>
      <c r="P22" s="129"/>
      <c r="Q22" s="129"/>
      <c r="R22" s="129"/>
    </row>
    <row r="23" spans="1:18" ht="186.75" customHeight="1">
      <c r="A23" s="129"/>
      <c r="B23" s="129"/>
      <c r="C23" s="129"/>
      <c r="D23" s="129"/>
      <c r="E23" s="135"/>
      <c r="F23" s="129"/>
      <c r="G23" s="129"/>
      <c r="H23" s="129"/>
      <c r="I23" s="129"/>
      <c r="J23" s="129"/>
      <c r="K23" s="129"/>
      <c r="L23" s="129"/>
      <c r="M23" s="129"/>
      <c r="N23" s="129"/>
      <c r="O23" s="129"/>
      <c r="P23" s="129"/>
      <c r="Q23" s="129"/>
      <c r="R23" s="129"/>
    </row>
    <row r="24" spans="1:18" ht="266.75" customHeight="1">
      <c r="A24" s="129"/>
      <c r="B24" s="129"/>
      <c r="C24" s="129"/>
      <c r="D24" s="129"/>
      <c r="E24" s="129"/>
      <c r="F24" s="13"/>
      <c r="G24" s="129"/>
      <c r="H24" s="129"/>
      <c r="I24" s="148"/>
      <c r="J24" s="129"/>
      <c r="K24" s="14"/>
      <c r="L24" s="129"/>
      <c r="M24" s="129"/>
      <c r="N24" s="129"/>
      <c r="O24" s="129"/>
      <c r="P24" s="129"/>
      <c r="Q24" s="129"/>
      <c r="R24" s="129"/>
    </row>
    <row r="25" spans="1:18" ht="133.25" customHeight="1">
      <c r="A25" s="129"/>
      <c r="B25" s="135"/>
      <c r="C25" s="135"/>
      <c r="D25" s="135"/>
      <c r="E25" s="129"/>
      <c r="F25" s="129"/>
      <c r="G25" s="129"/>
      <c r="H25" s="129"/>
      <c r="I25" s="129"/>
      <c r="J25" s="129"/>
      <c r="K25" s="129"/>
      <c r="L25" s="129"/>
      <c r="M25" s="129"/>
      <c r="N25" s="129"/>
      <c r="O25" s="129"/>
      <c r="P25" s="129"/>
      <c r="Q25" s="129"/>
      <c r="R25" s="129"/>
    </row>
    <row r="26" spans="1:18" ht="213.25" customHeight="1">
      <c r="A26" s="129"/>
      <c r="B26" s="137"/>
      <c r="C26" s="129"/>
      <c r="D26" s="135"/>
      <c r="E26" s="129"/>
      <c r="F26" s="129"/>
      <c r="G26" s="129"/>
      <c r="H26" s="129"/>
      <c r="I26" s="129"/>
      <c r="J26" s="129"/>
      <c r="K26" s="129"/>
      <c r="L26" s="129"/>
      <c r="M26" s="129"/>
      <c r="N26" s="129"/>
      <c r="O26" s="129"/>
      <c r="P26" s="129"/>
      <c r="Q26" s="129"/>
      <c r="R26" s="129"/>
    </row>
    <row r="27" spans="1:18" ht="160" customHeight="1">
      <c r="A27" s="129"/>
      <c r="B27" s="129"/>
      <c r="C27" s="129"/>
      <c r="D27" s="135"/>
      <c r="E27" s="129"/>
      <c r="F27" s="129"/>
      <c r="G27" s="129"/>
      <c r="H27" s="129"/>
      <c r="I27" s="129"/>
      <c r="J27" s="129"/>
      <c r="K27" s="129"/>
      <c r="L27" s="129"/>
      <c r="M27" s="129"/>
      <c r="N27" s="129"/>
      <c r="O27" s="129"/>
      <c r="P27" s="129"/>
      <c r="Q27" s="129"/>
      <c r="R27" s="129"/>
    </row>
    <row r="28" spans="1:18" ht="106.75" customHeight="1">
      <c r="A28" s="129"/>
      <c r="B28" s="137"/>
      <c r="C28" s="129"/>
      <c r="D28" s="129"/>
      <c r="E28" s="129"/>
      <c r="F28" s="129"/>
      <c r="G28" s="129"/>
      <c r="H28" s="129"/>
      <c r="I28" s="129"/>
      <c r="J28" s="129"/>
      <c r="K28" s="129"/>
      <c r="L28" s="129"/>
      <c r="M28" s="129"/>
      <c r="N28" s="129"/>
      <c r="O28" s="129"/>
      <c r="P28" s="129"/>
      <c r="Q28" s="129"/>
      <c r="R28" s="129"/>
    </row>
    <row r="29" spans="1:18" ht="213.25" customHeight="1">
      <c r="A29" s="129"/>
      <c r="B29" s="129"/>
      <c r="C29" s="129"/>
      <c r="D29" s="129"/>
      <c r="E29" s="129"/>
      <c r="F29" s="139"/>
      <c r="G29" s="129"/>
      <c r="H29" s="129"/>
      <c r="I29" s="129"/>
      <c r="J29" s="129"/>
      <c r="K29" s="129"/>
      <c r="L29" s="129"/>
      <c r="M29" s="129"/>
      <c r="N29" s="129"/>
      <c r="O29" s="129"/>
      <c r="P29" s="129"/>
      <c r="Q29" s="129"/>
      <c r="R29" s="129"/>
    </row>
    <row r="30" spans="1:18" ht="213.25" customHeight="1">
      <c r="A30" s="129"/>
      <c r="B30" s="137"/>
      <c r="C30" s="129"/>
      <c r="D30" s="129"/>
      <c r="E30" s="129"/>
      <c r="F30" s="129"/>
      <c r="G30" s="129"/>
      <c r="H30" s="129"/>
      <c r="I30" s="129"/>
      <c r="J30" s="129"/>
      <c r="K30" s="129"/>
      <c r="L30" s="129"/>
      <c r="M30" s="129"/>
      <c r="N30" s="129"/>
      <c r="O30" s="129"/>
      <c r="P30" s="129"/>
      <c r="Q30" s="129"/>
      <c r="R30" s="129"/>
    </row>
    <row r="31" spans="1:18" ht="106.75" customHeight="1">
      <c r="A31" s="129"/>
      <c r="B31" s="144"/>
      <c r="C31" s="129"/>
      <c r="D31" s="135"/>
      <c r="E31" s="129"/>
      <c r="F31" s="129"/>
      <c r="G31" s="129"/>
      <c r="H31" s="129"/>
      <c r="I31" s="129"/>
      <c r="J31" s="129"/>
      <c r="K31" s="129"/>
      <c r="L31" s="129"/>
      <c r="M31" s="129"/>
      <c r="N31" s="129"/>
      <c r="O31" s="129"/>
      <c r="P31" s="129"/>
      <c r="Q31" s="129"/>
      <c r="R31" s="129"/>
    </row>
    <row r="32" spans="1:18" ht="133.25" customHeight="1">
      <c r="A32" s="129"/>
      <c r="B32" s="129"/>
      <c r="C32" s="129"/>
      <c r="D32" s="129"/>
      <c r="E32" s="129"/>
      <c r="F32" s="129"/>
      <c r="G32" s="129"/>
      <c r="H32" s="129"/>
      <c r="I32" s="129"/>
      <c r="J32" s="129"/>
      <c r="K32" s="129"/>
      <c r="L32" s="129"/>
      <c r="M32" s="129"/>
      <c r="N32" s="129"/>
      <c r="O32" s="129"/>
      <c r="P32" s="129"/>
      <c r="Q32" s="129"/>
      <c r="R32" s="129"/>
    </row>
    <row r="33" spans="1:18" ht="133.25" customHeight="1">
      <c r="A33" s="129"/>
      <c r="B33" s="129"/>
      <c r="C33" s="129"/>
      <c r="D33" s="135"/>
      <c r="E33" s="129"/>
      <c r="F33" s="129"/>
      <c r="G33" s="129"/>
      <c r="H33" s="129"/>
      <c r="I33" s="129"/>
      <c r="J33" s="129"/>
      <c r="K33" s="129"/>
      <c r="L33" s="129"/>
      <c r="M33" s="129"/>
      <c r="N33" s="129"/>
      <c r="O33" s="129"/>
      <c r="P33" s="129"/>
      <c r="Q33" s="129"/>
      <c r="R33" s="129"/>
    </row>
    <row r="34" spans="1:18" ht="160" customHeight="1">
      <c r="A34" s="129"/>
      <c r="B34" s="129"/>
      <c r="C34" s="129"/>
      <c r="D34" s="140"/>
      <c r="E34" s="10"/>
      <c r="F34" s="157"/>
      <c r="G34" s="129"/>
      <c r="H34" s="129"/>
      <c r="I34" s="148"/>
      <c r="J34" s="129"/>
      <c r="K34" s="141"/>
      <c r="L34" s="129"/>
      <c r="M34" s="129"/>
      <c r="N34" s="129"/>
      <c r="O34" s="129"/>
      <c r="P34" s="129"/>
      <c r="Q34" s="129"/>
      <c r="R34" s="129"/>
    </row>
    <row r="35" spans="1:18" ht="133.25" customHeight="1">
      <c r="A35" s="129"/>
      <c r="B35" s="134"/>
      <c r="C35" s="129"/>
      <c r="D35" s="11"/>
      <c r="E35" s="129"/>
      <c r="F35" s="12"/>
      <c r="G35" s="129"/>
      <c r="H35" s="129"/>
      <c r="I35" s="16"/>
      <c r="J35" s="129"/>
      <c r="K35" s="129"/>
      <c r="L35" s="129"/>
      <c r="M35" s="23"/>
      <c r="N35" s="8"/>
      <c r="O35" s="129"/>
      <c r="P35" s="129"/>
      <c r="Q35" s="129"/>
      <c r="R35" s="129"/>
    </row>
    <row r="36" spans="1:18" ht="133.25" customHeight="1">
      <c r="A36" s="129"/>
      <c r="B36" s="137"/>
      <c r="C36" s="129"/>
      <c r="D36" s="129"/>
      <c r="E36" s="129"/>
      <c r="F36" s="129"/>
      <c r="G36" s="129"/>
      <c r="H36" s="129"/>
      <c r="I36" s="129"/>
      <c r="J36" s="154"/>
      <c r="K36" s="154"/>
      <c r="L36" s="129"/>
      <c r="M36" s="129"/>
      <c r="N36" s="129"/>
      <c r="O36" s="129"/>
      <c r="P36" s="129"/>
      <c r="Q36" s="129"/>
      <c r="R36" s="129"/>
    </row>
    <row r="37" spans="1:18" ht="186.75" customHeight="1">
      <c r="A37" s="129"/>
      <c r="B37" s="129"/>
      <c r="C37" s="129"/>
      <c r="D37" s="129"/>
      <c r="E37" s="129"/>
      <c r="F37" s="129"/>
      <c r="G37" s="129"/>
      <c r="H37" s="129"/>
      <c r="I37" s="129"/>
      <c r="J37" s="129"/>
      <c r="K37" s="129"/>
      <c r="L37" s="129"/>
      <c r="M37" s="129"/>
      <c r="N37" s="129"/>
      <c r="O37" s="129"/>
      <c r="P37" s="129"/>
      <c r="Q37" s="129"/>
      <c r="R37" s="129"/>
    </row>
    <row r="38" spans="1:18" ht="133.25" customHeight="1">
      <c r="A38" s="129"/>
      <c r="B38" s="129"/>
      <c r="C38" s="129"/>
      <c r="D38" s="129"/>
      <c r="E38" s="129"/>
      <c r="F38" s="129"/>
      <c r="G38" s="129"/>
      <c r="H38" s="129"/>
      <c r="I38" s="129"/>
      <c r="J38" s="129"/>
      <c r="K38" s="129"/>
      <c r="L38" s="129"/>
      <c r="M38" s="129"/>
      <c r="N38" s="129"/>
      <c r="O38" s="129"/>
      <c r="P38" s="129"/>
      <c r="Q38" s="129"/>
      <c r="R38" s="129"/>
    </row>
    <row r="39" spans="1:18" ht="213.25" customHeight="1">
      <c r="A39" s="129"/>
      <c r="B39" s="129"/>
      <c r="C39" s="129"/>
      <c r="D39" s="129"/>
      <c r="E39" s="129"/>
      <c r="F39" s="129"/>
      <c r="G39" s="129"/>
      <c r="H39" s="129"/>
      <c r="I39" s="129"/>
      <c r="J39" s="129"/>
      <c r="K39" s="129"/>
      <c r="L39" s="129"/>
      <c r="M39" s="129"/>
      <c r="N39" s="129"/>
      <c r="O39" s="129"/>
      <c r="P39" s="129"/>
      <c r="Q39" s="129"/>
      <c r="R39" s="129"/>
    </row>
    <row r="40" spans="1:18" ht="186.75" customHeight="1">
      <c r="A40" s="129"/>
      <c r="B40" s="137"/>
      <c r="C40" s="129"/>
      <c r="D40" s="7"/>
      <c r="E40" s="129"/>
      <c r="F40" s="12"/>
      <c r="G40" s="129"/>
      <c r="H40" s="129"/>
      <c r="I40" s="13"/>
      <c r="J40" s="129"/>
      <c r="K40" s="129"/>
      <c r="L40" s="129"/>
      <c r="M40" s="129"/>
      <c r="N40" s="129"/>
      <c r="O40" s="129"/>
      <c r="P40" s="129"/>
      <c r="Q40" s="129"/>
      <c r="R40" s="129"/>
    </row>
    <row r="41" spans="1:18" ht="133.25" customHeight="1">
      <c r="A41" s="129"/>
      <c r="B41" s="143"/>
      <c r="C41" s="135"/>
      <c r="D41" s="135"/>
      <c r="E41" s="129"/>
      <c r="F41" s="129"/>
      <c r="G41" s="129"/>
      <c r="H41" s="129"/>
      <c r="I41" s="129"/>
      <c r="J41" s="129"/>
      <c r="K41" s="154"/>
      <c r="L41" s="129"/>
      <c r="M41" s="129"/>
      <c r="N41" s="129"/>
      <c r="O41" s="129"/>
      <c r="P41" s="129"/>
      <c r="Q41" s="129"/>
      <c r="R41" s="129"/>
    </row>
    <row r="42" spans="1:18" ht="160" customHeight="1">
      <c r="A42" s="129"/>
      <c r="B42" s="129"/>
      <c r="C42" s="129"/>
      <c r="D42" s="129"/>
      <c r="E42" s="129"/>
      <c r="F42" s="129"/>
      <c r="G42" s="129"/>
      <c r="H42" s="141"/>
      <c r="I42" s="129"/>
      <c r="J42" s="129"/>
      <c r="K42" s="129"/>
      <c r="L42" s="129"/>
      <c r="M42" s="129"/>
      <c r="N42" s="129"/>
      <c r="O42" s="129"/>
      <c r="P42" s="129"/>
      <c r="Q42" s="129"/>
      <c r="R42" s="129"/>
    </row>
    <row r="43" spans="1:18" ht="80" customHeight="1">
      <c r="A43" s="129"/>
      <c r="B43" s="129"/>
      <c r="C43" s="129"/>
      <c r="D43" s="129"/>
      <c r="E43" s="10"/>
      <c r="F43" s="129"/>
      <c r="G43" s="129"/>
      <c r="H43" s="129"/>
      <c r="I43" s="129"/>
      <c r="J43" s="129"/>
      <c r="K43" s="129"/>
      <c r="L43" s="129"/>
      <c r="M43" s="129"/>
      <c r="N43" s="129"/>
      <c r="O43" s="129"/>
      <c r="P43" s="129"/>
      <c r="Q43" s="129"/>
      <c r="R43" s="129"/>
    </row>
    <row r="44" spans="1:18" ht="160" customHeight="1">
      <c r="A44" s="129"/>
      <c r="B44" s="137"/>
      <c r="C44" s="129"/>
      <c r="D44" s="129"/>
      <c r="E44" s="129"/>
      <c r="F44" s="129"/>
      <c r="G44" s="129"/>
      <c r="H44" s="129"/>
      <c r="I44" s="129"/>
      <c r="J44" s="129"/>
      <c r="K44" s="129"/>
      <c r="L44" s="129"/>
      <c r="M44" s="129"/>
      <c r="N44" s="129"/>
      <c r="O44" s="129"/>
      <c r="P44" s="129"/>
      <c r="Q44" s="129"/>
      <c r="R44" s="129"/>
    </row>
    <row r="45" spans="1:18" ht="346.75" customHeight="1">
      <c r="A45" s="129"/>
      <c r="B45" s="129"/>
      <c r="C45" s="129"/>
      <c r="D45" s="129"/>
      <c r="E45" s="129"/>
      <c r="F45" s="129"/>
      <c r="G45" s="129"/>
      <c r="H45" s="129"/>
      <c r="I45" s="129"/>
      <c r="J45" s="129"/>
      <c r="K45" s="129"/>
      <c r="L45" s="129"/>
      <c r="M45" s="129"/>
      <c r="N45" s="129"/>
      <c r="O45" s="129"/>
      <c r="P45" s="129"/>
      <c r="Q45" s="129"/>
      <c r="R45" s="129"/>
    </row>
    <row r="46" spans="1:18" ht="240" customHeight="1">
      <c r="A46" s="129"/>
      <c r="B46" s="129"/>
      <c r="C46" s="129"/>
      <c r="D46" s="129"/>
      <c r="E46" s="129"/>
      <c r="F46" s="129"/>
      <c r="G46" s="129"/>
      <c r="H46" s="129"/>
      <c r="I46" s="129"/>
      <c r="J46" s="129"/>
      <c r="K46" s="18"/>
      <c r="L46" s="129"/>
      <c r="M46" s="129"/>
      <c r="N46" s="129"/>
      <c r="O46" s="129"/>
      <c r="P46" s="129"/>
      <c r="Q46" s="129"/>
      <c r="R46" s="129"/>
    </row>
    <row r="47" spans="1:18" ht="160" customHeight="1">
      <c r="A47" s="129"/>
      <c r="B47" s="129"/>
      <c r="C47" s="129"/>
      <c r="D47" s="129"/>
      <c r="E47" s="129"/>
      <c r="F47" s="129"/>
      <c r="G47" s="129"/>
      <c r="H47" s="129"/>
      <c r="I47" s="129"/>
      <c r="J47" s="129"/>
      <c r="K47" s="129"/>
      <c r="L47" s="129"/>
      <c r="M47" s="129"/>
      <c r="N47" s="129"/>
      <c r="O47" s="129"/>
      <c r="P47" s="129"/>
      <c r="Q47" s="129"/>
      <c r="R47" s="129"/>
    </row>
    <row r="48" spans="1:18" ht="213.25" customHeight="1">
      <c r="A48" s="129"/>
      <c r="B48" s="129"/>
      <c r="C48" s="129"/>
      <c r="D48" s="129"/>
      <c r="E48" s="129"/>
      <c r="F48" s="129"/>
      <c r="G48" s="129"/>
      <c r="H48" s="129"/>
      <c r="I48" s="129"/>
      <c r="J48" s="129"/>
      <c r="K48" s="129"/>
      <c r="L48" s="129"/>
      <c r="M48" s="129"/>
      <c r="N48" s="129"/>
      <c r="O48" s="129"/>
      <c r="P48" s="129"/>
      <c r="Q48" s="129"/>
      <c r="R48" s="129"/>
    </row>
    <row r="49" spans="1:18" ht="160" customHeight="1">
      <c r="A49" s="129"/>
      <c r="B49" s="137"/>
      <c r="C49" s="129"/>
      <c r="D49" s="129"/>
      <c r="E49" s="129"/>
      <c r="F49" s="129"/>
      <c r="G49" s="129"/>
      <c r="H49" s="129"/>
      <c r="I49" s="129"/>
      <c r="J49" s="129"/>
      <c r="K49" s="129"/>
      <c r="L49" s="129"/>
      <c r="M49" s="129"/>
      <c r="N49" s="129"/>
      <c r="O49" s="129"/>
      <c r="P49" s="129"/>
      <c r="Q49" s="129"/>
      <c r="R49" s="129"/>
    </row>
    <row r="50" spans="1:18" ht="53.25" customHeight="1">
      <c r="A50" s="129"/>
      <c r="B50" s="129"/>
      <c r="C50" s="129"/>
      <c r="D50" s="129"/>
      <c r="E50" s="129"/>
      <c r="F50" s="129"/>
      <c r="G50" s="129"/>
      <c r="H50" s="129"/>
      <c r="I50" s="129"/>
      <c r="J50" s="129"/>
      <c r="K50" s="129"/>
      <c r="L50" s="129"/>
      <c r="M50" s="129"/>
      <c r="N50" s="129"/>
      <c r="O50" s="129"/>
      <c r="P50" s="129"/>
      <c r="Q50" s="129"/>
      <c r="R50" s="129"/>
    </row>
    <row r="51" spans="1:18" ht="133.25" customHeight="1">
      <c r="A51" s="129"/>
      <c r="B51" s="129"/>
      <c r="C51" s="149"/>
      <c r="D51" s="140"/>
      <c r="E51" s="10"/>
      <c r="F51" s="157"/>
      <c r="G51" s="129"/>
      <c r="H51" s="129"/>
      <c r="I51" s="148"/>
      <c r="J51" s="129"/>
      <c r="K51" s="141"/>
      <c r="L51" s="129"/>
      <c r="M51" s="23"/>
      <c r="N51" s="8"/>
      <c r="O51" s="129"/>
      <c r="P51" s="129"/>
      <c r="Q51" s="129"/>
      <c r="R51" s="129"/>
    </row>
    <row r="52" spans="1:18" ht="160" customHeight="1">
      <c r="A52" s="129"/>
      <c r="B52" s="137"/>
      <c r="C52" s="129"/>
      <c r="D52" s="129"/>
      <c r="E52" s="129"/>
      <c r="F52" s="129"/>
      <c r="G52" s="7"/>
      <c r="H52" s="129"/>
      <c r="I52" s="129"/>
      <c r="J52" s="129"/>
      <c r="K52" s="151"/>
      <c r="L52" s="129"/>
      <c r="M52" s="129"/>
      <c r="N52" s="129"/>
      <c r="O52" s="129"/>
      <c r="P52" s="129"/>
      <c r="Q52" s="129"/>
      <c r="R52" s="129"/>
    </row>
    <row r="53" spans="1:18" ht="186.75" customHeight="1">
      <c r="A53" s="129"/>
      <c r="B53" s="129"/>
      <c r="C53" s="129"/>
      <c r="D53" s="129"/>
      <c r="E53" s="129"/>
      <c r="F53" s="129"/>
      <c r="G53" s="129"/>
      <c r="H53" s="129"/>
      <c r="I53" s="129"/>
      <c r="J53" s="129"/>
      <c r="K53" s="129"/>
      <c r="L53" s="129"/>
      <c r="M53" s="129"/>
      <c r="N53" s="129"/>
      <c r="O53" s="129"/>
      <c r="P53" s="129"/>
      <c r="Q53" s="129"/>
      <c r="R53" s="129"/>
    </row>
    <row r="54" spans="1:18" ht="133.25" customHeight="1">
      <c r="A54" s="129"/>
      <c r="B54" s="144"/>
      <c r="C54" s="149"/>
      <c r="D54" s="7"/>
      <c r="E54" s="10"/>
      <c r="F54" s="148"/>
      <c r="G54" s="10"/>
      <c r="H54" s="129"/>
      <c r="I54" s="148"/>
      <c r="J54" s="129"/>
      <c r="K54" s="141"/>
      <c r="L54" s="129"/>
      <c r="M54" s="129"/>
      <c r="N54" s="129"/>
      <c r="O54" s="129"/>
      <c r="P54" s="129"/>
      <c r="Q54" s="129"/>
      <c r="R54" s="129"/>
    </row>
    <row r="55" spans="1:18" ht="186.75" customHeight="1">
      <c r="A55" s="129"/>
      <c r="B55" s="137"/>
      <c r="C55" s="129"/>
      <c r="D55" s="129"/>
      <c r="E55" s="129"/>
      <c r="F55" s="129"/>
      <c r="G55" s="129"/>
      <c r="H55" s="129"/>
      <c r="I55" s="129"/>
      <c r="J55" s="129"/>
      <c r="K55" s="129"/>
      <c r="L55" s="129"/>
      <c r="M55" s="129"/>
      <c r="N55" s="129"/>
      <c r="O55" s="129"/>
      <c r="P55" s="129"/>
      <c r="Q55" s="129"/>
      <c r="R55" s="129"/>
    </row>
    <row r="56" spans="1:18" ht="106.75" customHeight="1">
      <c r="A56" s="129"/>
      <c r="B56" s="129"/>
      <c r="C56" s="129"/>
      <c r="D56" s="129"/>
      <c r="E56" s="129"/>
      <c r="F56" s="129"/>
      <c r="G56" s="129"/>
      <c r="H56" s="129"/>
      <c r="I56" s="129"/>
      <c r="J56" s="129"/>
      <c r="K56" s="153"/>
      <c r="L56" s="129"/>
      <c r="M56" s="129"/>
      <c r="N56" s="129"/>
      <c r="O56" s="129"/>
      <c r="P56" s="129"/>
      <c r="Q56" s="129"/>
      <c r="R56" s="129"/>
    </row>
    <row r="57" spans="1:18" ht="133.25" customHeight="1">
      <c r="A57" s="129"/>
      <c r="B57" s="137"/>
      <c r="C57" s="160"/>
      <c r="D57" s="20"/>
      <c r="E57" s="140"/>
      <c r="F57" s="148"/>
      <c r="G57" s="129"/>
      <c r="H57" s="129"/>
      <c r="I57" s="192"/>
      <c r="J57" s="129"/>
      <c r="K57" s="140"/>
      <c r="L57" s="129"/>
      <c r="M57" s="23"/>
      <c r="N57" s="8"/>
      <c r="O57" s="129"/>
      <c r="P57" s="129"/>
      <c r="Q57" s="129"/>
      <c r="R57" s="129"/>
    </row>
    <row r="58" spans="1:18" ht="160" customHeight="1">
      <c r="A58" s="129"/>
      <c r="B58" s="137"/>
      <c r="C58" s="129"/>
      <c r="D58" s="129"/>
      <c r="E58" s="129"/>
      <c r="F58" s="129"/>
      <c r="G58" s="129"/>
      <c r="H58" s="129"/>
      <c r="I58" s="129"/>
      <c r="J58" s="129"/>
      <c r="K58" s="129"/>
      <c r="L58" s="129"/>
      <c r="M58" s="8"/>
      <c r="N58" s="8"/>
      <c r="O58" s="129"/>
      <c r="P58" s="129"/>
      <c r="Q58" s="129"/>
      <c r="R58" s="129"/>
    </row>
    <row r="59" spans="1:18" ht="213.25" customHeight="1">
      <c r="A59" s="129"/>
      <c r="B59" s="129"/>
      <c r="C59" s="129"/>
      <c r="D59" s="129"/>
      <c r="E59" s="129"/>
      <c r="F59" s="129"/>
      <c r="G59" s="129"/>
      <c r="H59" s="129"/>
      <c r="I59" s="129"/>
      <c r="J59" s="129"/>
      <c r="K59" s="129"/>
      <c r="L59" s="129"/>
      <c r="M59" s="23"/>
      <c r="N59" s="8"/>
      <c r="O59" s="129"/>
      <c r="P59" s="129"/>
      <c r="Q59" s="129"/>
      <c r="R59" s="129"/>
    </row>
    <row r="60" spans="1:18" ht="160" customHeight="1">
      <c r="A60" s="129"/>
      <c r="B60" s="129"/>
      <c r="C60" s="129"/>
      <c r="D60" s="129"/>
      <c r="E60" s="129"/>
      <c r="F60" s="129"/>
      <c r="G60" s="129"/>
      <c r="H60" s="129"/>
      <c r="I60" s="129"/>
      <c r="J60" s="129"/>
      <c r="K60" s="129"/>
      <c r="L60" s="129"/>
      <c r="M60" s="8"/>
      <c r="N60" s="8"/>
      <c r="O60" s="129"/>
      <c r="P60" s="129"/>
      <c r="Q60" s="129"/>
      <c r="R60" s="129"/>
    </row>
    <row r="61" spans="1:18" ht="133.25" customHeight="1">
      <c r="A61" s="129"/>
      <c r="B61" s="134"/>
      <c r="C61" s="129"/>
      <c r="D61" s="129"/>
      <c r="E61" s="129"/>
      <c r="F61" s="129"/>
      <c r="G61" s="129"/>
      <c r="H61" s="129"/>
      <c r="I61" s="129"/>
      <c r="J61" s="129"/>
      <c r="K61" s="129"/>
      <c r="L61" s="129"/>
      <c r="M61" s="8"/>
      <c r="N61" s="8"/>
      <c r="O61" s="129"/>
      <c r="P61" s="129"/>
      <c r="Q61" s="129"/>
      <c r="R61" s="129"/>
    </row>
    <row r="62" spans="1:18" ht="106.75" customHeight="1">
      <c r="A62" s="129"/>
      <c r="B62" s="129"/>
      <c r="C62" s="129"/>
      <c r="D62" s="129"/>
      <c r="E62" s="129"/>
      <c r="F62" s="129"/>
      <c r="G62" s="129"/>
      <c r="H62" s="129"/>
      <c r="I62" s="129"/>
      <c r="J62" s="129"/>
      <c r="K62" s="129"/>
      <c r="L62" s="129"/>
      <c r="M62" s="8"/>
      <c r="N62" s="8"/>
      <c r="O62" s="129"/>
      <c r="P62" s="129"/>
      <c r="Q62" s="129"/>
      <c r="R62" s="129"/>
    </row>
    <row r="63" spans="1:18" ht="160" customHeight="1">
      <c r="A63" s="129"/>
      <c r="B63" s="137"/>
      <c r="C63" s="129"/>
      <c r="D63" s="129"/>
      <c r="E63" s="129"/>
      <c r="F63" s="129"/>
      <c r="G63" s="129"/>
      <c r="H63" s="129"/>
      <c r="I63" s="129"/>
      <c r="J63" s="129"/>
      <c r="K63" s="129"/>
      <c r="L63" s="129"/>
      <c r="M63" s="8"/>
      <c r="N63" s="8"/>
      <c r="O63" s="129"/>
      <c r="P63" s="129"/>
      <c r="Q63" s="129"/>
      <c r="R63" s="129"/>
    </row>
    <row r="64" spans="1:18" ht="160" customHeight="1">
      <c r="A64" s="129"/>
      <c r="B64" s="137"/>
      <c r="C64" s="129"/>
      <c r="D64" s="129"/>
      <c r="E64" s="129"/>
      <c r="F64" s="129"/>
      <c r="G64" s="129"/>
      <c r="H64" s="129"/>
      <c r="I64" s="129"/>
      <c r="J64" s="129"/>
      <c r="K64" s="129"/>
      <c r="L64" s="129"/>
      <c r="M64" s="8"/>
      <c r="N64" s="8"/>
      <c r="O64" s="129"/>
      <c r="P64" s="129"/>
      <c r="Q64" s="129"/>
      <c r="R64" s="129"/>
    </row>
    <row r="65" spans="1:18" ht="133.25" customHeight="1">
      <c r="A65" s="129"/>
      <c r="B65" s="129"/>
      <c r="C65" s="129"/>
      <c r="D65" s="129"/>
      <c r="E65" s="129"/>
      <c r="F65" s="129"/>
      <c r="G65" s="129"/>
      <c r="H65" s="129"/>
      <c r="I65" s="129"/>
      <c r="J65" s="129"/>
      <c r="K65" s="129"/>
      <c r="L65" s="129"/>
      <c r="M65" s="8"/>
      <c r="N65" s="8"/>
      <c r="O65" s="129"/>
      <c r="P65" s="129"/>
      <c r="Q65" s="129"/>
      <c r="R65" s="129"/>
    </row>
    <row r="66" spans="1:18" ht="266.75" customHeight="1">
      <c r="A66" s="129"/>
      <c r="B66" s="138"/>
      <c r="C66" s="135"/>
      <c r="D66" s="135"/>
      <c r="E66" s="129"/>
      <c r="F66" s="129"/>
      <c r="G66" s="129"/>
      <c r="H66" s="129"/>
      <c r="I66" s="129"/>
      <c r="J66" s="129"/>
      <c r="K66" s="129"/>
      <c r="L66" s="129"/>
      <c r="M66" s="129"/>
      <c r="N66" s="129"/>
      <c r="O66" s="129"/>
      <c r="P66" s="129"/>
      <c r="Q66" s="129"/>
      <c r="R66" s="129"/>
    </row>
    <row r="67" spans="1:18" ht="133.25" customHeight="1">
      <c r="A67" s="129"/>
      <c r="B67" s="137"/>
      <c r="C67" s="129"/>
      <c r="D67" s="129"/>
      <c r="E67" s="129"/>
      <c r="F67" s="139"/>
      <c r="G67" s="129"/>
      <c r="H67" s="129"/>
      <c r="I67" s="129"/>
      <c r="J67" s="129"/>
      <c r="K67" s="129"/>
      <c r="L67" s="129"/>
      <c r="M67" s="129"/>
      <c r="N67" s="129"/>
      <c r="O67" s="129"/>
      <c r="P67" s="129"/>
      <c r="Q67" s="129"/>
      <c r="R67" s="129"/>
    </row>
    <row r="68" spans="1:18" ht="266.75" customHeight="1">
      <c r="A68" s="129"/>
      <c r="B68" s="143"/>
      <c r="C68" s="135"/>
      <c r="D68" s="135"/>
      <c r="E68" s="129"/>
      <c r="F68" s="129"/>
      <c r="G68" s="139"/>
      <c r="H68" s="139"/>
      <c r="I68" s="129"/>
      <c r="J68" s="129"/>
      <c r="K68" s="129"/>
      <c r="L68" s="129"/>
      <c r="M68" s="129"/>
      <c r="N68" s="129"/>
      <c r="O68" s="129"/>
      <c r="P68" s="129"/>
      <c r="Q68" s="129"/>
      <c r="R68" s="129"/>
    </row>
    <row r="69" spans="1:18" ht="133.25" customHeight="1">
      <c r="A69" s="129"/>
      <c r="B69" s="129"/>
      <c r="C69" s="156"/>
      <c r="D69" s="20"/>
      <c r="E69" s="129"/>
      <c r="F69" s="148"/>
      <c r="G69" s="129"/>
      <c r="H69" s="129"/>
      <c r="I69" s="148"/>
      <c r="J69" s="129"/>
      <c r="K69" s="14"/>
      <c r="L69" s="129"/>
      <c r="M69" s="23"/>
      <c r="N69" s="8"/>
      <c r="O69" s="129"/>
      <c r="P69" s="129"/>
      <c r="Q69" s="129"/>
      <c r="R69" s="129"/>
    </row>
    <row r="70" spans="1:18" ht="160" customHeight="1">
      <c r="A70" s="129"/>
      <c r="B70" s="137"/>
      <c r="C70" s="129"/>
      <c r="D70" s="129"/>
      <c r="E70" s="129"/>
      <c r="F70" s="129"/>
      <c r="G70" s="129"/>
      <c r="H70" s="129"/>
      <c r="I70" s="129"/>
      <c r="J70" s="129"/>
      <c r="K70" s="129"/>
      <c r="L70" s="129"/>
      <c r="M70" s="8"/>
      <c r="N70" s="8"/>
      <c r="O70" s="129"/>
      <c r="P70" s="129"/>
      <c r="Q70" s="129"/>
      <c r="R70" s="129"/>
    </row>
    <row r="71" spans="1:18" ht="133.25" customHeight="1">
      <c r="A71" s="129"/>
      <c r="B71" s="137"/>
      <c r="C71" s="129"/>
      <c r="D71" s="11"/>
      <c r="E71" s="7"/>
      <c r="F71" s="12"/>
      <c r="G71" s="129"/>
      <c r="H71" s="129"/>
      <c r="I71" s="16"/>
      <c r="J71" s="129"/>
      <c r="K71" s="129"/>
      <c r="L71" s="129"/>
      <c r="M71" s="129"/>
      <c r="N71" s="129"/>
      <c r="O71" s="129"/>
      <c r="P71" s="129"/>
      <c r="Q71" s="129"/>
      <c r="R71" s="129"/>
    </row>
    <row r="72" spans="1:18" ht="240" customHeight="1">
      <c r="A72" s="129"/>
      <c r="B72" s="173"/>
      <c r="C72" s="135"/>
      <c r="D72" s="135"/>
      <c r="E72" s="129"/>
      <c r="F72" s="129"/>
      <c r="G72" s="129"/>
      <c r="H72" s="129"/>
      <c r="I72" s="129"/>
      <c r="J72" s="129"/>
      <c r="K72" s="129"/>
      <c r="L72" s="129"/>
      <c r="M72" s="129"/>
      <c r="N72" s="129"/>
      <c r="O72" s="129"/>
      <c r="P72" s="129"/>
      <c r="Q72" s="129"/>
      <c r="R72" s="129"/>
    </row>
    <row r="73" spans="1:18" ht="160" customHeight="1">
      <c r="A73" s="129"/>
      <c r="B73" s="129"/>
      <c r="C73" s="129"/>
      <c r="D73" s="129"/>
      <c r="E73" s="129"/>
      <c r="F73" s="129"/>
      <c r="G73" s="129"/>
      <c r="H73" s="129"/>
      <c r="I73" s="129"/>
      <c r="J73" s="129"/>
      <c r="K73" s="129"/>
      <c r="L73" s="129"/>
      <c r="M73" s="129"/>
      <c r="N73" s="129"/>
      <c r="O73" s="129"/>
      <c r="P73" s="129"/>
      <c r="Q73" s="129"/>
      <c r="R73" s="129"/>
    </row>
    <row r="74" spans="1:18" ht="106.75" customHeight="1">
      <c r="A74" s="129"/>
      <c r="B74" s="137"/>
      <c r="C74" s="129"/>
      <c r="D74" s="129"/>
      <c r="E74" s="129"/>
      <c r="F74" s="129"/>
      <c r="G74" s="129"/>
      <c r="H74" s="129"/>
      <c r="I74" s="129"/>
      <c r="J74" s="129"/>
      <c r="K74" s="129"/>
      <c r="L74" s="129"/>
      <c r="M74" s="129"/>
      <c r="N74" s="129"/>
      <c r="O74" s="129"/>
      <c r="P74" s="129"/>
      <c r="Q74" s="129"/>
      <c r="R74" s="129"/>
    </row>
    <row r="75" spans="1:18" ht="151" customHeight="1">
      <c r="A75" s="129"/>
      <c r="B75" s="129"/>
      <c r="C75" s="129"/>
      <c r="D75" s="129"/>
      <c r="E75" s="129"/>
      <c r="F75" s="129"/>
      <c r="G75" s="129"/>
      <c r="H75" s="129"/>
      <c r="I75" s="129"/>
      <c r="J75" s="129"/>
      <c r="K75" s="129"/>
      <c r="L75" s="129"/>
      <c r="M75" s="129"/>
      <c r="N75" s="129"/>
      <c r="O75" s="129"/>
      <c r="P75" s="129"/>
      <c r="Q75" s="129"/>
      <c r="R75" s="129"/>
    </row>
    <row r="76" spans="1:18" ht="133.25" customHeight="1">
      <c r="A76" s="129"/>
      <c r="B76" s="137"/>
      <c r="C76" s="129"/>
      <c r="D76" s="129"/>
      <c r="E76" s="129"/>
      <c r="F76" s="129"/>
      <c r="G76" s="129"/>
      <c r="H76" s="129"/>
      <c r="I76" s="129"/>
      <c r="J76" s="129"/>
      <c r="K76" s="129"/>
      <c r="L76" s="129"/>
      <c r="M76" s="129"/>
      <c r="N76" s="129"/>
      <c r="O76" s="129"/>
      <c r="P76" s="129"/>
      <c r="Q76" s="129"/>
      <c r="R76" s="129"/>
    </row>
    <row r="77" spans="1:18" ht="106.75" customHeight="1">
      <c r="A77" s="129"/>
      <c r="B77" s="137"/>
      <c r="C77" s="129"/>
      <c r="D77" s="129"/>
      <c r="E77" s="135"/>
      <c r="F77" s="129"/>
      <c r="G77" s="129"/>
      <c r="H77" s="129"/>
      <c r="I77" s="129"/>
      <c r="J77" s="129"/>
      <c r="K77" s="129"/>
      <c r="L77" s="129"/>
      <c r="M77" s="129"/>
      <c r="N77" s="129"/>
      <c r="O77" s="129"/>
      <c r="P77" s="129"/>
      <c r="Q77" s="129"/>
      <c r="R77" s="129"/>
    </row>
    <row r="78" spans="1:18" ht="106.75" customHeight="1">
      <c r="A78" s="129"/>
      <c r="B78" s="129"/>
      <c r="C78" s="129"/>
      <c r="D78" s="129"/>
      <c r="E78" s="129"/>
      <c r="F78" s="129"/>
      <c r="G78" s="129"/>
      <c r="H78" s="129"/>
      <c r="I78" s="129"/>
      <c r="J78" s="129"/>
      <c r="K78" s="129"/>
      <c r="L78" s="129"/>
      <c r="M78" s="129"/>
      <c r="N78" s="129"/>
      <c r="O78" s="129"/>
      <c r="P78" s="129"/>
      <c r="Q78" s="129"/>
      <c r="R78" s="129"/>
    </row>
    <row r="79" spans="1:18" ht="133.25" customHeight="1">
      <c r="A79" s="129"/>
      <c r="B79" s="137"/>
      <c r="C79" s="129"/>
      <c r="D79" s="11"/>
      <c r="E79" s="129"/>
      <c r="F79" s="12"/>
      <c r="G79" s="129"/>
      <c r="H79" s="129"/>
      <c r="I79" s="193"/>
      <c r="J79" s="129"/>
      <c r="K79" s="18"/>
      <c r="L79" s="129"/>
      <c r="M79" s="129"/>
      <c r="N79" s="129"/>
      <c r="O79" s="129"/>
      <c r="P79" s="129"/>
      <c r="Q79" s="129"/>
      <c r="R79" s="129"/>
    </row>
    <row r="80" spans="1:18" ht="160" customHeight="1">
      <c r="A80" s="129"/>
      <c r="B80" s="129"/>
      <c r="C80" s="129"/>
      <c r="D80" s="129"/>
      <c r="E80" s="129"/>
      <c r="F80" s="129"/>
      <c r="G80" s="129"/>
      <c r="H80" s="129"/>
      <c r="I80" s="129"/>
      <c r="J80" s="129"/>
      <c r="K80" s="129"/>
      <c r="L80" s="129"/>
      <c r="M80" s="129"/>
      <c r="N80" s="129"/>
      <c r="O80" s="129"/>
      <c r="P80" s="129"/>
      <c r="Q80" s="129"/>
      <c r="R80" s="129"/>
    </row>
    <row r="81" spans="1:18" ht="186.75" customHeight="1">
      <c r="A81" s="129"/>
      <c r="B81" s="129"/>
      <c r="C81" s="129"/>
      <c r="D81" s="129"/>
      <c r="E81" s="129"/>
      <c r="F81" s="129"/>
      <c r="G81" s="129"/>
      <c r="H81" s="129"/>
      <c r="I81" s="129"/>
      <c r="J81" s="129"/>
      <c r="K81" s="129"/>
      <c r="L81" s="129"/>
      <c r="M81" s="23"/>
      <c r="N81" s="129"/>
      <c r="O81" s="129"/>
      <c r="P81" s="129"/>
      <c r="Q81" s="129"/>
      <c r="R81" s="129"/>
    </row>
    <row r="82" spans="1:18" ht="106.75" customHeight="1">
      <c r="A82" s="129"/>
      <c r="B82" s="137"/>
      <c r="C82" s="149"/>
      <c r="D82" s="20"/>
      <c r="E82" s="10"/>
      <c r="F82" s="140"/>
      <c r="G82" s="129"/>
      <c r="H82" s="129"/>
      <c r="I82" s="148"/>
      <c r="J82" s="129"/>
      <c r="K82" s="140"/>
      <c r="L82" s="129"/>
      <c r="M82" s="129"/>
      <c r="N82" s="129"/>
      <c r="O82" s="129"/>
      <c r="P82" s="129"/>
      <c r="Q82" s="129"/>
      <c r="R82" s="129"/>
    </row>
    <row r="83" spans="1:18" ht="160" customHeight="1">
      <c r="A83" s="129"/>
      <c r="B83" s="143"/>
      <c r="C83" s="135"/>
      <c r="D83" s="135"/>
      <c r="E83" s="129"/>
      <c r="F83" s="129"/>
      <c r="G83" s="129"/>
      <c r="H83" s="129"/>
      <c r="I83" s="129"/>
      <c r="J83" s="129"/>
      <c r="K83" s="129"/>
      <c r="L83" s="129"/>
      <c r="M83" s="129"/>
      <c r="N83" s="129"/>
      <c r="O83" s="129"/>
      <c r="P83" s="129"/>
      <c r="Q83" s="129"/>
      <c r="R83" s="129"/>
    </row>
    <row r="84" spans="1:18" ht="106.75" customHeight="1">
      <c r="A84" s="129"/>
      <c r="B84" s="129"/>
      <c r="C84" s="149"/>
      <c r="D84" s="7"/>
      <c r="E84" s="10"/>
      <c r="F84" s="148"/>
      <c r="G84" s="129"/>
      <c r="H84" s="129"/>
      <c r="I84" s="148"/>
      <c r="J84" s="129"/>
      <c r="K84" s="18"/>
      <c r="L84" s="129"/>
      <c r="M84" s="129"/>
      <c r="N84" s="129"/>
      <c r="O84" s="129"/>
      <c r="P84" s="129"/>
      <c r="Q84" s="129"/>
      <c r="R84" s="129"/>
    </row>
    <row r="85" spans="1:18" ht="106.75" customHeight="1">
      <c r="A85" s="129"/>
      <c r="B85" s="129"/>
      <c r="C85" s="129"/>
      <c r="D85" s="129"/>
      <c r="E85" s="129"/>
      <c r="F85" s="129"/>
      <c r="G85" s="129"/>
      <c r="H85" s="129"/>
      <c r="I85" s="129"/>
      <c r="J85" s="129"/>
      <c r="K85" s="129"/>
      <c r="L85" s="129"/>
      <c r="M85" s="129"/>
      <c r="N85" s="129"/>
      <c r="O85" s="129"/>
      <c r="P85" s="129"/>
      <c r="Q85" s="129"/>
      <c r="R85" s="129"/>
    </row>
    <row r="86" spans="1:18" ht="80" customHeight="1">
      <c r="A86" s="129"/>
      <c r="B86" s="137"/>
      <c r="C86" s="129"/>
      <c r="D86" s="129"/>
      <c r="E86" s="154"/>
      <c r="F86" s="129"/>
      <c r="G86" s="129"/>
      <c r="H86" s="129"/>
      <c r="I86" s="129"/>
      <c r="J86" s="129"/>
      <c r="K86" s="129"/>
      <c r="L86" s="129"/>
      <c r="M86" s="129"/>
      <c r="N86" s="129"/>
      <c r="O86" s="129"/>
      <c r="P86" s="129"/>
      <c r="Q86" s="129"/>
      <c r="R86" s="129"/>
    </row>
    <row r="87" spans="1:18" ht="106.75" customHeight="1">
      <c r="A87" s="129"/>
      <c r="B87" s="137"/>
      <c r="C87" s="129"/>
      <c r="D87" s="129"/>
      <c r="E87" s="129"/>
      <c r="F87" s="129"/>
      <c r="G87" s="129"/>
      <c r="H87" s="129"/>
      <c r="I87" s="129"/>
      <c r="J87" s="129"/>
      <c r="K87" s="129"/>
      <c r="L87" s="129"/>
      <c r="M87" s="129"/>
      <c r="N87" s="129"/>
      <c r="O87" s="129"/>
      <c r="P87" s="129"/>
      <c r="Q87" s="129"/>
      <c r="R87" s="129"/>
    </row>
    <row r="88" spans="1:18" ht="106.75" customHeight="1">
      <c r="A88" s="129"/>
      <c r="B88" s="129"/>
      <c r="C88" s="129"/>
      <c r="D88" s="129"/>
      <c r="E88" s="129"/>
      <c r="F88" s="139"/>
      <c r="G88" s="129"/>
      <c r="H88" s="129"/>
      <c r="I88" s="129"/>
      <c r="J88" s="129"/>
      <c r="K88" s="129"/>
      <c r="L88" s="129"/>
      <c r="M88" s="129"/>
      <c r="N88" s="129"/>
      <c r="O88" s="129"/>
      <c r="P88" s="129"/>
      <c r="Q88" s="129"/>
      <c r="R88" s="129"/>
    </row>
    <row r="89" spans="1:18" ht="186.75" customHeight="1">
      <c r="A89" s="129"/>
      <c r="B89" s="129"/>
      <c r="C89" s="129"/>
      <c r="D89" s="11"/>
      <c r="E89" s="129"/>
      <c r="F89" s="129"/>
      <c r="G89" s="129"/>
      <c r="H89" s="129"/>
      <c r="I89" s="155"/>
      <c r="J89" s="129"/>
      <c r="K89" s="129"/>
      <c r="L89" s="23"/>
      <c r="M89" s="129"/>
      <c r="N89" s="129"/>
      <c r="O89" s="129"/>
      <c r="P89" s="129"/>
      <c r="Q89" s="129"/>
      <c r="R89" s="129"/>
    </row>
    <row r="90" spans="1:18" ht="133.25" customHeight="1">
      <c r="A90" s="129"/>
      <c r="B90" s="137"/>
      <c r="C90" s="129"/>
      <c r="D90" s="11"/>
      <c r="E90" s="129"/>
      <c r="F90" s="129"/>
      <c r="G90" s="129"/>
      <c r="H90" s="129"/>
      <c r="I90" s="129"/>
      <c r="J90" s="129"/>
      <c r="K90" s="129"/>
      <c r="L90" s="129"/>
      <c r="M90" s="129"/>
      <c r="N90" s="129"/>
      <c r="O90" s="129"/>
      <c r="P90" s="129"/>
      <c r="Q90" s="129"/>
      <c r="R90" s="129"/>
    </row>
    <row r="91" spans="1:18" ht="133.25" customHeight="1">
      <c r="A91" s="129"/>
      <c r="B91" s="129"/>
      <c r="C91" s="129"/>
      <c r="D91" s="129"/>
      <c r="E91" s="129"/>
      <c r="F91" s="129"/>
      <c r="G91" s="129"/>
      <c r="H91" s="129"/>
      <c r="I91" s="129"/>
      <c r="J91" s="129"/>
      <c r="K91" s="129"/>
      <c r="L91" s="129"/>
      <c r="M91" s="129"/>
      <c r="N91" s="129"/>
      <c r="O91" s="129"/>
      <c r="P91" s="129"/>
      <c r="Q91" s="129"/>
      <c r="R91" s="129"/>
    </row>
    <row r="92" spans="1:18" ht="80" customHeight="1">
      <c r="A92" s="129"/>
      <c r="B92" s="129"/>
      <c r="C92" s="129"/>
      <c r="D92" s="129"/>
      <c r="E92" s="129"/>
      <c r="F92" s="129"/>
      <c r="G92" s="129"/>
      <c r="H92" s="129"/>
      <c r="I92" s="129"/>
      <c r="J92" s="129"/>
      <c r="K92" s="129"/>
      <c r="L92" s="129"/>
      <c r="M92" s="129"/>
      <c r="N92" s="129"/>
      <c r="O92" s="129"/>
      <c r="P92" s="129"/>
      <c r="Q92" s="129"/>
      <c r="R92" s="129"/>
    </row>
    <row r="93" spans="1:18" ht="106.75" customHeight="1">
      <c r="A93" s="129"/>
      <c r="B93" s="137"/>
      <c r="C93" s="129"/>
      <c r="D93" s="129"/>
      <c r="E93" s="129"/>
      <c r="F93" s="129"/>
      <c r="G93" s="129"/>
      <c r="H93" s="129"/>
      <c r="I93" s="129"/>
      <c r="J93" s="129"/>
      <c r="K93" s="129"/>
      <c r="L93" s="129"/>
      <c r="M93" s="129"/>
      <c r="N93" s="129"/>
      <c r="O93" s="129"/>
      <c r="P93" s="129"/>
      <c r="Q93" s="129"/>
      <c r="R93" s="129"/>
    </row>
    <row r="94" spans="1:18" ht="106.75" customHeight="1">
      <c r="A94" s="129"/>
      <c r="B94" s="137"/>
      <c r="C94" s="151"/>
      <c r="D94" s="11"/>
      <c r="E94" s="129"/>
      <c r="F94" s="12"/>
      <c r="G94" s="129"/>
      <c r="H94" s="129"/>
      <c r="I94" s="8"/>
      <c r="J94" s="154"/>
      <c r="K94" s="154"/>
      <c r="L94" s="129"/>
      <c r="M94" s="129"/>
      <c r="N94" s="129"/>
      <c r="O94" s="129"/>
      <c r="P94" s="129"/>
      <c r="Q94" s="129"/>
      <c r="R94" s="129"/>
    </row>
    <row r="95" spans="1:18" ht="106.75" customHeight="1">
      <c r="A95" s="129"/>
      <c r="B95" s="129"/>
      <c r="C95" s="129"/>
      <c r="D95" s="129"/>
      <c r="E95" s="129"/>
      <c r="F95" s="129"/>
      <c r="G95" s="129"/>
      <c r="H95" s="129"/>
      <c r="I95" s="129"/>
      <c r="J95" s="129"/>
      <c r="K95" s="129"/>
      <c r="L95" s="129"/>
      <c r="M95" s="23"/>
      <c r="N95" s="8"/>
      <c r="O95" s="129"/>
      <c r="P95" s="129"/>
      <c r="Q95" s="129"/>
      <c r="R95" s="129"/>
    </row>
    <row r="96" spans="1:18" ht="240" customHeight="1">
      <c r="A96" s="129"/>
      <c r="B96" s="129"/>
      <c r="C96" s="129"/>
      <c r="D96" s="135"/>
      <c r="E96" s="129"/>
      <c r="F96" s="129"/>
      <c r="G96" s="129"/>
      <c r="H96" s="129"/>
      <c r="I96" s="129"/>
      <c r="J96" s="129"/>
      <c r="K96" s="129"/>
      <c r="L96" s="129"/>
      <c r="M96" s="8"/>
      <c r="N96" s="8"/>
      <c r="O96" s="129"/>
      <c r="P96" s="129"/>
      <c r="Q96" s="129"/>
      <c r="R96" s="129"/>
    </row>
    <row r="97" spans="1:18" ht="106.75" customHeight="1">
      <c r="A97" s="129"/>
      <c r="B97" s="137"/>
      <c r="C97" s="129"/>
      <c r="D97" s="129"/>
      <c r="E97" s="129"/>
      <c r="F97" s="129"/>
      <c r="G97" s="129"/>
      <c r="H97" s="129"/>
      <c r="I97" s="129"/>
      <c r="J97" s="129"/>
      <c r="K97" s="154"/>
      <c r="L97" s="129"/>
      <c r="M97" s="8"/>
      <c r="N97" s="8"/>
      <c r="O97" s="129"/>
      <c r="P97" s="129"/>
      <c r="Q97" s="129"/>
      <c r="R97" s="129"/>
    </row>
    <row r="98" spans="1:18" ht="133.25" customHeight="1">
      <c r="A98" s="129"/>
      <c r="B98" s="129"/>
      <c r="C98" s="129"/>
      <c r="D98" s="129"/>
      <c r="E98" s="129"/>
      <c r="F98" s="129"/>
      <c r="G98" s="129"/>
      <c r="H98" s="129"/>
      <c r="I98" s="129"/>
      <c r="J98" s="129"/>
      <c r="K98" s="129"/>
      <c r="L98" s="129"/>
      <c r="M98" s="129"/>
      <c r="N98" s="8"/>
      <c r="O98" s="129"/>
      <c r="P98" s="129"/>
      <c r="Q98" s="129"/>
      <c r="R98" s="129"/>
    </row>
    <row r="99" spans="1:18" ht="106.75" customHeight="1">
      <c r="A99" s="129"/>
      <c r="B99" s="135"/>
      <c r="C99" s="135"/>
      <c r="D99" s="135"/>
      <c r="E99" s="129"/>
      <c r="F99" s="129"/>
      <c r="G99" s="129"/>
      <c r="H99" s="129"/>
      <c r="I99" s="129"/>
      <c r="J99" s="129"/>
      <c r="K99" s="129"/>
      <c r="L99" s="129"/>
      <c r="M99" s="129"/>
      <c r="N99" s="8"/>
      <c r="O99" s="129"/>
      <c r="P99" s="129"/>
      <c r="Q99" s="129"/>
      <c r="R99" s="129"/>
    </row>
    <row r="100" spans="1:18" ht="409.5" customHeight="1">
      <c r="A100" s="129"/>
      <c r="B100" s="134"/>
      <c r="C100" s="129"/>
      <c r="D100" s="129"/>
      <c r="E100" s="129"/>
      <c r="F100" s="129"/>
      <c r="G100" s="129"/>
      <c r="H100" s="129"/>
      <c r="I100" s="129"/>
      <c r="J100" s="129"/>
      <c r="K100" s="154"/>
      <c r="L100" s="129"/>
      <c r="M100" s="8"/>
      <c r="N100" s="8"/>
      <c r="O100" s="129"/>
      <c r="P100" s="129"/>
      <c r="Q100" s="129"/>
      <c r="R100" s="129"/>
    </row>
    <row r="101" spans="1:18" ht="186.75" customHeight="1">
      <c r="A101" s="129"/>
      <c r="B101" s="137"/>
      <c r="C101" s="129"/>
      <c r="D101" s="11"/>
      <c r="E101" s="129"/>
      <c r="F101" s="12"/>
      <c r="G101" s="129"/>
      <c r="H101" s="129"/>
      <c r="I101" s="16"/>
      <c r="J101" s="129"/>
      <c r="K101" s="129"/>
      <c r="L101" s="129"/>
      <c r="M101" s="8"/>
      <c r="N101" s="8"/>
      <c r="O101" s="129"/>
      <c r="P101" s="129"/>
      <c r="Q101" s="129"/>
      <c r="R101" s="129"/>
    </row>
    <row r="102" spans="1:18" ht="133.25" customHeight="1">
      <c r="A102" s="129"/>
      <c r="B102" s="129"/>
      <c r="C102" s="129"/>
      <c r="D102" s="135"/>
      <c r="E102" s="129"/>
      <c r="F102" s="129"/>
      <c r="G102" s="129"/>
      <c r="H102" s="129"/>
      <c r="I102" s="129"/>
      <c r="J102" s="129"/>
      <c r="K102" s="129"/>
      <c r="L102" s="129"/>
      <c r="M102" s="8"/>
      <c r="N102" s="8"/>
      <c r="O102" s="129"/>
      <c r="P102" s="129"/>
      <c r="Q102" s="129"/>
      <c r="R102" s="129"/>
    </row>
    <row r="103" spans="1:18" ht="133.25" customHeight="1">
      <c r="A103" s="129"/>
      <c r="B103" s="143"/>
      <c r="C103" s="135"/>
      <c r="D103" s="135"/>
      <c r="E103" s="129"/>
      <c r="F103" s="129"/>
      <c r="G103" s="129"/>
      <c r="H103" s="129"/>
      <c r="I103" s="129"/>
      <c r="J103" s="129"/>
      <c r="K103" s="129"/>
      <c r="L103" s="129"/>
      <c r="M103" s="8"/>
      <c r="N103" s="8"/>
      <c r="O103" s="129"/>
      <c r="P103" s="129"/>
      <c r="Q103" s="129"/>
      <c r="R103" s="129"/>
    </row>
    <row r="104" spans="1:18" ht="80" customHeight="1">
      <c r="A104" s="129"/>
      <c r="B104" s="129"/>
      <c r="C104" s="129"/>
      <c r="D104" s="129"/>
      <c r="E104" s="129"/>
      <c r="F104" s="129"/>
      <c r="G104" s="129"/>
      <c r="H104" s="129"/>
      <c r="I104" s="129"/>
      <c r="J104" s="129"/>
      <c r="K104" s="129"/>
      <c r="L104" s="129"/>
      <c r="M104" s="8"/>
      <c r="N104" s="8"/>
      <c r="O104" s="129"/>
      <c r="P104" s="129"/>
      <c r="Q104" s="129"/>
      <c r="R104" s="129"/>
    </row>
    <row r="105" spans="1:18" ht="186.75" customHeight="1">
      <c r="A105" s="129"/>
      <c r="B105" s="137"/>
      <c r="C105" s="129"/>
      <c r="D105" s="129"/>
      <c r="E105" s="129"/>
      <c r="F105" s="129"/>
      <c r="G105" s="139"/>
      <c r="H105" s="139"/>
      <c r="I105" s="129"/>
      <c r="J105" s="129"/>
      <c r="K105" s="129"/>
      <c r="L105" s="129"/>
      <c r="M105" s="8"/>
      <c r="N105" s="8"/>
      <c r="O105" s="129"/>
      <c r="P105" s="129"/>
      <c r="Q105" s="129"/>
      <c r="R105" s="129"/>
    </row>
    <row r="106" spans="1:18" ht="80" customHeight="1">
      <c r="A106" s="129"/>
      <c r="B106" s="134"/>
      <c r="C106" s="129"/>
      <c r="D106" s="129"/>
      <c r="E106" s="129"/>
      <c r="F106" s="129"/>
      <c r="G106" s="129"/>
      <c r="H106" s="129"/>
      <c r="I106" s="129"/>
      <c r="J106" s="129"/>
      <c r="K106" s="129"/>
      <c r="L106" s="129"/>
      <c r="M106" s="8"/>
      <c r="N106" s="8"/>
      <c r="O106" s="129"/>
      <c r="P106" s="129"/>
      <c r="Q106" s="129"/>
      <c r="R106" s="129"/>
    </row>
    <row r="107" spans="1:18" ht="151" customHeight="1">
      <c r="A107" s="129"/>
      <c r="B107" s="129"/>
      <c r="C107" s="129"/>
      <c r="D107" s="129"/>
      <c r="E107" s="129"/>
      <c r="F107" s="129"/>
      <c r="G107" s="129"/>
      <c r="H107" s="129"/>
      <c r="I107" s="129"/>
      <c r="J107" s="129"/>
      <c r="K107" s="129"/>
      <c r="L107" s="129"/>
      <c r="M107" s="8"/>
      <c r="N107" s="8"/>
      <c r="O107" s="129"/>
      <c r="P107" s="129"/>
      <c r="Q107" s="129"/>
      <c r="R107" s="129"/>
    </row>
    <row r="108" spans="1:18" ht="133.25" customHeight="1">
      <c r="A108" s="129"/>
      <c r="B108" s="137"/>
      <c r="C108" s="129"/>
      <c r="D108" s="129"/>
      <c r="E108" s="129"/>
      <c r="F108" s="129"/>
      <c r="G108" s="129"/>
      <c r="H108" s="129"/>
      <c r="I108" s="129"/>
      <c r="J108" s="129"/>
      <c r="K108" s="129"/>
      <c r="L108" s="129"/>
      <c r="M108" s="8"/>
      <c r="N108" s="8"/>
      <c r="O108" s="129"/>
      <c r="P108" s="129"/>
      <c r="Q108" s="129"/>
      <c r="R108" s="129"/>
    </row>
    <row r="109" spans="1:18" ht="133.25" customHeight="1">
      <c r="A109" s="129"/>
      <c r="B109" s="137"/>
      <c r="C109" s="129"/>
      <c r="D109" s="129"/>
      <c r="E109" s="129"/>
      <c r="F109" s="129"/>
      <c r="G109" s="129"/>
      <c r="H109" s="129"/>
      <c r="I109" s="129"/>
      <c r="J109" s="129"/>
      <c r="K109" s="129"/>
      <c r="L109" s="129"/>
      <c r="M109" s="8"/>
      <c r="N109" s="8"/>
      <c r="O109" s="129"/>
      <c r="P109" s="129"/>
      <c r="Q109" s="129"/>
      <c r="R109" s="129"/>
    </row>
    <row r="110" spans="1:18" ht="160" customHeight="1">
      <c r="A110" s="129"/>
      <c r="B110" s="135"/>
      <c r="C110" s="135"/>
      <c r="D110" s="135"/>
      <c r="E110" s="129"/>
      <c r="F110" s="139"/>
      <c r="G110" s="129"/>
      <c r="H110" s="129"/>
      <c r="I110" s="129"/>
      <c r="J110" s="129"/>
      <c r="K110" s="129"/>
      <c r="L110" s="129"/>
      <c r="M110" s="8"/>
      <c r="N110" s="8"/>
      <c r="O110" s="129"/>
      <c r="P110" s="129"/>
      <c r="Q110" s="129"/>
      <c r="R110" s="129"/>
    </row>
    <row r="111" spans="1:18" ht="133.25" customHeight="1">
      <c r="A111" s="129"/>
      <c r="B111" s="137"/>
      <c r="C111" s="129"/>
      <c r="D111" s="135"/>
      <c r="E111" s="129"/>
      <c r="F111" s="139"/>
      <c r="G111" s="129"/>
      <c r="H111" s="129"/>
      <c r="I111" s="129"/>
      <c r="J111" s="129"/>
      <c r="K111" s="129"/>
      <c r="L111" s="129"/>
      <c r="M111" s="8"/>
      <c r="N111" s="8"/>
      <c r="O111" s="129"/>
      <c r="P111" s="129"/>
      <c r="Q111" s="129"/>
      <c r="R111" s="129"/>
    </row>
    <row r="112" spans="1:18" ht="160" customHeight="1">
      <c r="A112" s="129"/>
      <c r="B112" s="134"/>
      <c r="C112" s="129"/>
      <c r="D112" s="129"/>
      <c r="E112" s="129"/>
      <c r="F112" s="129"/>
      <c r="G112" s="129"/>
      <c r="H112" s="129"/>
      <c r="I112" s="129"/>
      <c r="J112" s="129"/>
      <c r="K112" s="129"/>
      <c r="L112" s="129"/>
      <c r="M112" s="8"/>
      <c r="N112" s="8"/>
      <c r="O112" s="129"/>
      <c r="P112" s="129"/>
      <c r="Q112" s="129"/>
      <c r="R112" s="129"/>
    </row>
    <row r="113" spans="1:18" ht="186.75" customHeight="1">
      <c r="A113" s="129"/>
      <c r="B113" s="129"/>
      <c r="C113" s="129"/>
      <c r="D113" s="129"/>
      <c r="E113" s="129"/>
      <c r="F113" s="129"/>
      <c r="G113" s="129"/>
      <c r="H113" s="129"/>
      <c r="I113" s="129"/>
      <c r="J113" s="129"/>
      <c r="K113" s="129"/>
      <c r="L113" s="129"/>
      <c r="M113" s="8"/>
      <c r="N113" s="8"/>
      <c r="O113" s="129"/>
      <c r="P113" s="129"/>
      <c r="Q113" s="129"/>
      <c r="R113" s="129"/>
    </row>
    <row r="114" spans="1:18" ht="160" customHeight="1">
      <c r="A114" s="129"/>
      <c r="B114" s="129"/>
      <c r="C114" s="149"/>
      <c r="D114" s="7"/>
      <c r="E114" s="10"/>
      <c r="F114" s="148"/>
      <c r="G114" s="19"/>
      <c r="H114" s="129"/>
      <c r="I114" s="19"/>
      <c r="J114" s="129"/>
      <c r="K114" s="140"/>
      <c r="L114" s="129"/>
      <c r="M114" s="129"/>
      <c r="N114" s="129"/>
      <c r="O114" s="129"/>
      <c r="P114" s="129"/>
      <c r="Q114" s="129"/>
      <c r="R114" s="129"/>
    </row>
    <row r="115" spans="1:18" ht="151" customHeight="1">
      <c r="A115" s="129"/>
      <c r="B115" s="144"/>
      <c r="C115" s="129"/>
      <c r="D115" s="129"/>
      <c r="E115" s="129"/>
      <c r="F115" s="129"/>
      <c r="G115" s="129"/>
      <c r="H115" s="129"/>
      <c r="I115" s="129"/>
      <c r="J115" s="141"/>
      <c r="K115" s="18"/>
      <c r="L115" s="129"/>
      <c r="M115" s="129"/>
      <c r="N115" s="129"/>
      <c r="O115" s="129"/>
      <c r="P115" s="129"/>
      <c r="Q115" s="129"/>
      <c r="R115" s="129"/>
    </row>
    <row r="116" spans="1:18" ht="133.25" customHeight="1">
      <c r="A116" s="129"/>
      <c r="B116" s="137"/>
      <c r="C116" s="129"/>
      <c r="D116" s="7"/>
      <c r="E116" s="129"/>
      <c r="F116" s="12"/>
      <c r="G116" s="129"/>
      <c r="H116" s="129"/>
      <c r="I116" s="193"/>
      <c r="J116" s="129"/>
      <c r="K116" s="129"/>
      <c r="L116" s="129"/>
      <c r="M116" s="129"/>
      <c r="N116" s="129"/>
      <c r="O116" s="129"/>
      <c r="P116" s="129"/>
      <c r="Q116" s="129"/>
      <c r="R116" s="129"/>
    </row>
    <row r="117" spans="1:18" ht="106.75" customHeight="1">
      <c r="A117" s="129"/>
      <c r="B117" s="137"/>
      <c r="C117" s="129"/>
      <c r="D117" s="129"/>
      <c r="E117" s="129"/>
      <c r="F117" s="139"/>
      <c r="G117" s="129"/>
      <c r="H117" s="129"/>
      <c r="I117" s="129"/>
      <c r="J117" s="129"/>
      <c r="K117" s="129"/>
      <c r="L117" s="129"/>
      <c r="M117" s="129"/>
      <c r="N117" s="129"/>
      <c r="O117" s="129"/>
      <c r="P117" s="129"/>
      <c r="Q117" s="129"/>
      <c r="R117" s="129"/>
    </row>
    <row r="118" spans="1:18" ht="160" customHeight="1">
      <c r="A118" s="129"/>
      <c r="B118" s="137"/>
      <c r="C118" s="129"/>
      <c r="D118" s="129"/>
      <c r="E118" s="129"/>
      <c r="F118" s="129"/>
      <c r="G118" s="129"/>
      <c r="H118" s="129"/>
      <c r="I118" s="129"/>
      <c r="J118" s="129"/>
      <c r="K118" s="140"/>
      <c r="L118" s="129"/>
      <c r="M118" s="129"/>
      <c r="N118" s="129"/>
      <c r="O118" s="129"/>
      <c r="P118" s="129"/>
      <c r="Q118" s="129"/>
      <c r="R118" s="129"/>
    </row>
    <row r="119" spans="1:18" ht="266.75" customHeight="1">
      <c r="A119" s="129"/>
      <c r="B119" s="145"/>
      <c r="C119" s="145"/>
      <c r="D119" s="145"/>
      <c r="E119" s="145"/>
      <c r="F119" s="145"/>
      <c r="G119" s="145"/>
      <c r="H119" s="145"/>
      <c r="I119" s="145"/>
      <c r="J119" s="145"/>
      <c r="K119" s="145"/>
      <c r="L119" s="145"/>
      <c r="M119" s="145"/>
      <c r="N119" s="145"/>
      <c r="O119" s="145"/>
      <c r="P119" s="145"/>
      <c r="Q119" s="129"/>
      <c r="R119" s="129"/>
    </row>
    <row r="120" spans="1:18" ht="106.75" customHeight="1">
      <c r="A120" s="129"/>
      <c r="B120" s="129"/>
      <c r="C120" s="156"/>
      <c r="D120" s="129"/>
      <c r="E120" s="129"/>
      <c r="F120" s="13"/>
      <c r="G120" s="129"/>
      <c r="H120" s="129"/>
      <c r="I120" s="140"/>
      <c r="J120" s="129"/>
      <c r="K120" s="14"/>
      <c r="L120" s="129"/>
      <c r="M120" s="129"/>
      <c r="N120" s="129"/>
      <c r="O120" s="129"/>
      <c r="P120" s="129"/>
      <c r="Q120" s="129"/>
      <c r="R120" s="129"/>
    </row>
    <row r="121" spans="1:18" ht="106.75" customHeight="1">
      <c r="A121" s="129"/>
      <c r="B121" s="129"/>
      <c r="C121" s="156"/>
      <c r="D121" s="129"/>
      <c r="E121" s="129"/>
      <c r="F121" s="13"/>
      <c r="G121" s="129"/>
      <c r="H121" s="129"/>
      <c r="I121" s="148"/>
      <c r="J121" s="129"/>
      <c r="K121" s="14"/>
      <c r="L121" s="129"/>
      <c r="M121" s="129"/>
      <c r="N121" s="129"/>
      <c r="O121" s="129"/>
      <c r="P121" s="129"/>
      <c r="Q121" s="129"/>
      <c r="R121" s="129"/>
    </row>
    <row r="122" spans="1:18" ht="160" customHeight="1">
      <c r="A122" s="129"/>
      <c r="B122" s="137"/>
      <c r="C122" s="141"/>
      <c r="D122" s="11"/>
      <c r="E122" s="129"/>
      <c r="F122" s="12"/>
      <c r="G122" s="129"/>
      <c r="H122" s="129"/>
      <c r="I122" s="155"/>
      <c r="J122" s="129"/>
      <c r="K122" s="151"/>
      <c r="L122" s="129"/>
      <c r="M122" s="129"/>
      <c r="N122" s="129"/>
      <c r="O122" s="129"/>
      <c r="P122" s="129"/>
      <c r="Q122" s="129"/>
      <c r="R122" s="129"/>
    </row>
    <row r="123" spans="1:18" ht="160" customHeight="1">
      <c r="A123" s="129"/>
      <c r="B123" s="129"/>
      <c r="C123" s="129"/>
      <c r="D123" s="129"/>
      <c r="E123" s="129"/>
      <c r="F123" s="129"/>
      <c r="G123" s="129"/>
      <c r="H123" s="129"/>
      <c r="I123" s="129"/>
      <c r="J123" s="129"/>
      <c r="K123" s="140"/>
      <c r="L123" s="129"/>
      <c r="M123" s="129"/>
      <c r="N123" s="129"/>
      <c r="O123" s="129"/>
      <c r="P123" s="129"/>
      <c r="Q123" s="129"/>
      <c r="R123" s="129"/>
    </row>
    <row r="124" spans="1:18" ht="106.75" customHeight="1">
      <c r="A124" s="129"/>
      <c r="B124" s="129"/>
      <c r="C124" s="129"/>
      <c r="D124" s="129"/>
      <c r="E124" s="129"/>
      <c r="F124" s="129"/>
      <c r="G124" s="129"/>
      <c r="H124" s="129"/>
      <c r="I124" s="129"/>
      <c r="J124" s="129"/>
      <c r="K124" s="129"/>
      <c r="L124" s="129"/>
      <c r="M124" s="129"/>
      <c r="N124" s="129"/>
      <c r="O124" s="129"/>
      <c r="P124" s="129"/>
      <c r="Q124" s="129"/>
      <c r="R124" s="129"/>
    </row>
    <row r="125" spans="1:18" ht="133.25" customHeight="1">
      <c r="A125" s="129"/>
      <c r="B125" s="129"/>
      <c r="C125" s="129"/>
      <c r="D125" s="135"/>
      <c r="E125" s="129"/>
      <c r="F125" s="129"/>
      <c r="G125" s="129"/>
      <c r="H125" s="129"/>
      <c r="I125" s="129"/>
      <c r="J125" s="129"/>
      <c r="K125" s="129"/>
      <c r="L125" s="23"/>
      <c r="M125" s="23"/>
      <c r="N125" s="129"/>
      <c r="O125" s="129"/>
      <c r="P125" s="129"/>
      <c r="Q125" s="129"/>
      <c r="R125" s="129"/>
    </row>
    <row r="126" spans="1:18" ht="106.75" customHeight="1">
      <c r="A126" s="129"/>
      <c r="B126" s="137"/>
      <c r="C126" s="129"/>
      <c r="D126" s="129"/>
      <c r="E126" s="129"/>
      <c r="F126" s="129"/>
      <c r="G126" s="129"/>
      <c r="H126" s="129"/>
      <c r="I126" s="129"/>
      <c r="J126" s="129"/>
      <c r="K126" s="129"/>
      <c r="L126" s="129"/>
      <c r="M126" s="129"/>
      <c r="N126" s="129"/>
      <c r="O126" s="129"/>
      <c r="P126" s="129"/>
      <c r="Q126" s="129"/>
      <c r="R126" s="129"/>
    </row>
    <row r="127" spans="1:18" ht="160" customHeight="1">
      <c r="A127" s="129"/>
      <c r="B127" s="129"/>
      <c r="C127" s="129"/>
      <c r="D127" s="129"/>
      <c r="E127" s="129"/>
      <c r="F127" s="129"/>
      <c r="G127" s="129"/>
      <c r="H127" s="129"/>
      <c r="I127" s="129"/>
      <c r="J127" s="129"/>
      <c r="K127" s="129"/>
      <c r="L127" s="129"/>
      <c r="M127" s="129"/>
      <c r="N127" s="129"/>
      <c r="O127" s="129"/>
      <c r="P127" s="129"/>
      <c r="Q127" s="129"/>
      <c r="R127" s="129"/>
    </row>
    <row r="128" spans="1:18" ht="213.25" customHeight="1">
      <c r="A128" s="129"/>
      <c r="B128" s="137"/>
      <c r="C128" s="129"/>
      <c r="D128" s="129"/>
      <c r="E128" s="135"/>
      <c r="F128" s="129"/>
      <c r="G128" s="129"/>
      <c r="H128" s="129"/>
      <c r="I128" s="129"/>
      <c r="J128" s="129"/>
      <c r="K128" s="129"/>
      <c r="L128" s="129"/>
      <c r="M128" s="129"/>
      <c r="N128" s="129"/>
      <c r="O128" s="129"/>
      <c r="P128" s="129"/>
      <c r="Q128" s="129"/>
      <c r="R128" s="129"/>
    </row>
    <row r="129" spans="1:18" ht="213.25" customHeight="1">
      <c r="A129" s="129"/>
      <c r="B129" s="129"/>
      <c r="C129" s="129"/>
      <c r="D129" s="129"/>
      <c r="E129" s="129"/>
      <c r="F129" s="129"/>
      <c r="G129" s="129"/>
      <c r="H129" s="129"/>
      <c r="I129" s="129"/>
      <c r="J129" s="129"/>
      <c r="K129" s="129"/>
      <c r="L129" s="129"/>
      <c r="M129" s="129"/>
      <c r="N129" s="129"/>
      <c r="O129" s="129"/>
      <c r="P129" s="129"/>
      <c r="Q129" s="129"/>
      <c r="R129" s="129"/>
    </row>
    <row r="130" spans="1:18" ht="266.75" customHeight="1">
      <c r="A130" s="129"/>
      <c r="B130" s="137"/>
      <c r="C130" s="129"/>
      <c r="D130" s="135"/>
      <c r="E130" s="129"/>
      <c r="F130" s="129"/>
      <c r="G130" s="129"/>
      <c r="H130" s="129"/>
      <c r="I130" s="129"/>
      <c r="J130" s="129"/>
      <c r="K130" s="129"/>
      <c r="L130" s="129"/>
      <c r="M130" s="129"/>
      <c r="N130" s="129"/>
      <c r="O130" s="129"/>
      <c r="P130" s="129"/>
      <c r="Q130" s="129"/>
      <c r="R130" s="129"/>
    </row>
    <row r="131" spans="1:18" ht="186.75" customHeight="1">
      <c r="A131" s="129"/>
      <c r="B131" s="144"/>
      <c r="C131" s="129"/>
      <c r="D131" s="129"/>
      <c r="E131" s="129"/>
      <c r="F131" s="129"/>
      <c r="G131" s="129"/>
      <c r="H131" s="129"/>
      <c r="I131" s="129"/>
      <c r="J131" s="129"/>
      <c r="K131" s="129"/>
      <c r="L131" s="129"/>
      <c r="M131" s="129"/>
      <c r="N131" s="129"/>
      <c r="O131" s="129"/>
      <c r="P131" s="129"/>
      <c r="Q131" s="129"/>
      <c r="R131" s="129"/>
    </row>
    <row r="132" spans="1:18" ht="80" customHeight="1">
      <c r="A132" s="129"/>
      <c r="B132" s="137"/>
      <c r="C132" s="129"/>
      <c r="D132" s="129"/>
      <c r="E132" s="129"/>
      <c r="F132" s="129"/>
      <c r="G132" s="129"/>
      <c r="H132" s="129"/>
      <c r="I132" s="129"/>
      <c r="J132" s="129"/>
      <c r="K132" s="129"/>
      <c r="L132" s="129"/>
      <c r="M132" s="129"/>
      <c r="N132" s="129"/>
      <c r="O132" s="129"/>
      <c r="P132" s="129"/>
      <c r="Q132" s="129"/>
      <c r="R132" s="129"/>
    </row>
    <row r="133" spans="1:18" ht="133.25" customHeight="1">
      <c r="A133" s="129"/>
      <c r="B133" s="137"/>
      <c r="C133" s="129"/>
      <c r="D133" s="129"/>
      <c r="E133" s="129"/>
      <c r="F133" s="139"/>
      <c r="G133" s="129"/>
      <c r="H133" s="129"/>
      <c r="I133" s="129"/>
      <c r="J133" s="129"/>
      <c r="K133" s="129"/>
      <c r="L133" s="129"/>
      <c r="M133" s="129"/>
      <c r="N133" s="129"/>
      <c r="O133" s="129"/>
      <c r="P133" s="129"/>
      <c r="Q133" s="129"/>
      <c r="R133" s="129"/>
    </row>
    <row r="134" spans="1:18" ht="160" customHeight="1">
      <c r="A134" s="129"/>
      <c r="B134" s="129"/>
      <c r="C134" s="129"/>
      <c r="D134" s="129"/>
      <c r="E134" s="129"/>
      <c r="F134" s="129"/>
      <c r="G134" s="129"/>
      <c r="H134" s="129"/>
      <c r="I134" s="129"/>
      <c r="J134" s="129"/>
      <c r="K134" s="129"/>
      <c r="L134" s="129"/>
      <c r="M134" s="129"/>
      <c r="N134" s="129"/>
      <c r="O134" s="129"/>
      <c r="P134" s="129"/>
      <c r="Q134" s="129"/>
      <c r="R134" s="129"/>
    </row>
    <row r="135" spans="1:18" ht="160" customHeight="1">
      <c r="A135" s="129"/>
      <c r="B135" s="129"/>
      <c r="C135" s="129"/>
      <c r="D135" s="129"/>
      <c r="E135" s="129"/>
      <c r="F135" s="129"/>
      <c r="G135" s="129"/>
      <c r="H135" s="129"/>
      <c r="I135" s="129"/>
      <c r="J135" s="129"/>
      <c r="K135" s="129"/>
      <c r="L135" s="129"/>
      <c r="M135" s="129"/>
      <c r="N135" s="129"/>
      <c r="O135" s="129"/>
      <c r="P135" s="129"/>
      <c r="Q135" s="129"/>
      <c r="R135" s="129"/>
    </row>
    <row r="136" spans="1:18" ht="133.25" customHeight="1">
      <c r="A136" s="129"/>
      <c r="B136" s="129"/>
      <c r="C136" s="129"/>
      <c r="D136" s="129"/>
      <c r="E136" s="129"/>
      <c r="F136" s="129"/>
      <c r="G136" s="129"/>
      <c r="H136" s="129"/>
      <c r="I136" s="129"/>
      <c r="J136" s="129"/>
      <c r="K136" s="129"/>
      <c r="L136" s="129"/>
      <c r="M136" s="129"/>
      <c r="N136" s="129"/>
      <c r="O136" s="129"/>
      <c r="P136" s="129"/>
      <c r="Q136" s="129"/>
      <c r="R136" s="129"/>
    </row>
    <row r="137" spans="1:18" ht="133.25" customHeight="1">
      <c r="A137" s="129"/>
      <c r="B137" s="137"/>
      <c r="C137" s="129"/>
      <c r="D137" s="129"/>
      <c r="E137" s="129"/>
      <c r="F137" s="129"/>
      <c r="G137" s="129"/>
      <c r="H137" s="129"/>
      <c r="I137" s="129"/>
      <c r="J137" s="129"/>
      <c r="K137" s="129"/>
      <c r="L137" s="129"/>
      <c r="M137" s="129"/>
      <c r="N137" s="129"/>
      <c r="O137" s="129"/>
      <c r="P137" s="129"/>
      <c r="Q137" s="129"/>
      <c r="R137" s="129"/>
    </row>
    <row r="138" spans="1:18" ht="160" customHeight="1">
      <c r="A138" s="129"/>
      <c r="B138" s="129"/>
      <c r="C138" s="129"/>
      <c r="D138" s="129"/>
      <c r="E138" s="129"/>
      <c r="F138" s="129"/>
      <c r="G138" s="129"/>
      <c r="H138" s="129"/>
      <c r="I138" s="129"/>
      <c r="J138" s="129"/>
      <c r="K138" s="129"/>
      <c r="L138" s="129"/>
      <c r="M138" s="129"/>
      <c r="N138" s="129"/>
      <c r="O138" s="129"/>
      <c r="P138" s="129"/>
      <c r="Q138" s="129"/>
      <c r="R138" s="129"/>
    </row>
    <row r="139" spans="1:18" ht="133.25" customHeight="1">
      <c r="A139" s="129"/>
      <c r="B139" s="129"/>
      <c r="C139" s="129"/>
      <c r="D139" s="129"/>
      <c r="E139" s="135"/>
      <c r="F139" s="129"/>
      <c r="G139" s="129"/>
      <c r="H139" s="129"/>
      <c r="I139" s="129"/>
      <c r="J139" s="129"/>
      <c r="K139" s="129"/>
      <c r="L139" s="129"/>
      <c r="M139" s="129"/>
      <c r="N139" s="129"/>
      <c r="O139" s="129"/>
      <c r="P139" s="129"/>
      <c r="Q139" s="129"/>
      <c r="R139" s="129"/>
    </row>
    <row r="140" spans="1:18" ht="106.75" customHeight="1">
      <c r="A140" s="129"/>
      <c r="B140" s="129"/>
      <c r="C140" s="129"/>
      <c r="D140" s="135"/>
      <c r="E140" s="129"/>
      <c r="F140" s="129"/>
      <c r="G140" s="129"/>
      <c r="H140" s="129"/>
      <c r="I140" s="129"/>
      <c r="J140" s="129"/>
      <c r="K140" s="129"/>
      <c r="L140" s="129"/>
      <c r="M140" s="129"/>
      <c r="N140" s="129"/>
      <c r="O140" s="129"/>
      <c r="P140" s="129"/>
      <c r="Q140" s="129"/>
      <c r="R140" s="129"/>
    </row>
    <row r="141" spans="1:18" ht="106.75" customHeight="1">
      <c r="A141" s="129"/>
      <c r="B141" s="137"/>
      <c r="C141" s="129"/>
      <c r="D141" s="135"/>
      <c r="E141" s="129"/>
      <c r="F141" s="129"/>
      <c r="G141" s="7"/>
      <c r="H141" s="129"/>
      <c r="I141" s="129"/>
      <c r="J141" s="129"/>
      <c r="K141" s="129"/>
      <c r="L141" s="129"/>
      <c r="M141" s="129"/>
      <c r="N141" s="129"/>
      <c r="O141" s="129"/>
      <c r="P141" s="129"/>
      <c r="Q141" s="129"/>
      <c r="R141" s="129"/>
    </row>
    <row r="142" spans="1:18" ht="133.25" customHeight="1">
      <c r="A142" s="129"/>
      <c r="B142" s="137"/>
      <c r="C142" s="129"/>
      <c r="D142" s="129"/>
      <c r="E142" s="129"/>
      <c r="F142" s="129"/>
      <c r="G142" s="129"/>
      <c r="H142" s="129"/>
      <c r="I142" s="129"/>
      <c r="J142" s="129"/>
      <c r="K142" s="129"/>
      <c r="L142" s="129"/>
      <c r="M142" s="129"/>
      <c r="N142" s="129"/>
      <c r="O142" s="129"/>
      <c r="P142" s="129"/>
      <c r="Q142" s="129"/>
      <c r="R142" s="129"/>
    </row>
    <row r="143" spans="1:18" ht="266.75" customHeight="1">
      <c r="A143" s="129"/>
      <c r="B143" s="129"/>
      <c r="C143" s="129"/>
      <c r="D143" s="129"/>
      <c r="E143" s="129"/>
      <c r="F143" s="129"/>
      <c r="G143" s="129"/>
      <c r="H143" s="129"/>
      <c r="I143" s="129"/>
      <c r="J143" s="129"/>
      <c r="K143" s="129"/>
      <c r="L143" s="129"/>
      <c r="M143" s="129"/>
      <c r="N143" s="129"/>
      <c r="O143" s="129"/>
      <c r="P143" s="129"/>
      <c r="Q143" s="129"/>
      <c r="R143" s="129"/>
    </row>
    <row r="144" spans="1:18" ht="106.75" customHeight="1">
      <c r="A144" s="129"/>
      <c r="B144" s="129"/>
      <c r="C144" s="129"/>
      <c r="D144" s="135"/>
      <c r="E144" s="129"/>
      <c r="F144" s="139"/>
      <c r="G144" s="129"/>
      <c r="H144" s="129"/>
      <c r="I144" s="129"/>
      <c r="J144" s="129"/>
      <c r="K144" s="129"/>
      <c r="L144" s="129"/>
      <c r="M144" s="129"/>
      <c r="N144" s="129"/>
      <c r="O144" s="129"/>
      <c r="P144" s="129"/>
      <c r="Q144" s="129"/>
      <c r="R144" s="129"/>
    </row>
    <row r="145" spans="1:18" ht="186.75" customHeight="1">
      <c r="A145" s="129"/>
      <c r="B145" s="137"/>
      <c r="C145" s="129"/>
      <c r="D145" s="135"/>
      <c r="E145" s="129"/>
      <c r="F145" s="129"/>
      <c r="G145" s="129"/>
      <c r="H145" s="129"/>
      <c r="I145" s="129"/>
      <c r="J145" s="129"/>
      <c r="K145" s="129"/>
      <c r="L145" s="129"/>
      <c r="M145" s="129"/>
      <c r="N145" s="129"/>
      <c r="O145" s="129"/>
      <c r="P145" s="129"/>
      <c r="Q145" s="129"/>
      <c r="R145" s="129"/>
    </row>
    <row r="146" spans="1:18" ht="186.75" customHeight="1">
      <c r="A146" s="129"/>
      <c r="B146" s="142"/>
      <c r="C146" s="135"/>
      <c r="D146" s="135"/>
      <c r="E146" s="129"/>
      <c r="F146" s="8"/>
      <c r="G146" s="129"/>
      <c r="H146" s="129"/>
      <c r="I146" s="129"/>
      <c r="J146" s="154"/>
      <c r="K146" s="129"/>
      <c r="L146" s="129"/>
      <c r="M146" s="129"/>
      <c r="N146" s="129"/>
      <c r="O146" s="129"/>
      <c r="P146" s="129"/>
      <c r="Q146" s="129"/>
      <c r="R146" s="129"/>
    </row>
    <row r="147" spans="1:18" ht="160" customHeight="1">
      <c r="A147" s="129"/>
      <c r="B147" s="129"/>
      <c r="C147" s="129"/>
      <c r="D147" s="129"/>
      <c r="E147" s="129"/>
      <c r="F147" s="129"/>
      <c r="G147" s="129"/>
      <c r="H147" s="129"/>
      <c r="I147" s="129"/>
      <c r="J147" s="129"/>
      <c r="K147" s="129"/>
      <c r="L147" s="129"/>
      <c r="M147" s="129"/>
      <c r="N147" s="129"/>
      <c r="O147" s="129"/>
      <c r="P147" s="129"/>
      <c r="Q147" s="129"/>
      <c r="R147" s="129"/>
    </row>
    <row r="148" spans="1:18" ht="133.25" customHeight="1">
      <c r="A148" s="129"/>
      <c r="B148" s="144"/>
      <c r="C148" s="129"/>
      <c r="D148" s="129"/>
      <c r="E148" s="129"/>
      <c r="F148" s="129"/>
      <c r="G148" s="129"/>
      <c r="H148" s="129"/>
      <c r="I148" s="129"/>
      <c r="J148" s="129"/>
      <c r="K148" s="129"/>
      <c r="L148" s="129"/>
      <c r="M148" s="129"/>
      <c r="N148" s="129"/>
      <c r="O148" s="129"/>
      <c r="P148" s="129"/>
      <c r="Q148" s="129"/>
      <c r="R148" s="129"/>
    </row>
    <row r="149" spans="1:18" ht="160" customHeight="1">
      <c r="A149" s="129"/>
      <c r="B149" s="129"/>
      <c r="C149" s="129"/>
      <c r="D149" s="135"/>
      <c r="E149" s="129"/>
      <c r="F149" s="129"/>
      <c r="G149" s="129"/>
      <c r="H149" s="129"/>
      <c r="I149" s="129"/>
      <c r="J149" s="129"/>
      <c r="K149" s="129"/>
      <c r="L149" s="129"/>
      <c r="M149" s="129"/>
      <c r="N149" s="129"/>
      <c r="O149" s="129"/>
      <c r="P149" s="129"/>
      <c r="Q149" s="129"/>
      <c r="R149" s="129"/>
    </row>
    <row r="150" spans="1:18" ht="133.25" customHeight="1">
      <c r="A150" s="129"/>
      <c r="B150" s="129"/>
      <c r="C150" s="129"/>
      <c r="D150" s="129"/>
      <c r="E150" s="129"/>
      <c r="F150" s="129"/>
      <c r="G150" s="129"/>
      <c r="H150" s="129"/>
      <c r="I150" s="129"/>
      <c r="J150" s="129"/>
      <c r="K150" s="129"/>
      <c r="L150" s="129"/>
      <c r="M150" s="129"/>
      <c r="N150" s="129"/>
      <c r="O150" s="129"/>
      <c r="P150" s="129"/>
      <c r="Q150" s="129"/>
      <c r="R150" s="129"/>
    </row>
    <row r="151" spans="1:18" ht="133.25" customHeight="1">
      <c r="A151" s="129"/>
      <c r="B151" s="129"/>
      <c r="C151" s="129"/>
      <c r="D151" s="129"/>
      <c r="E151" s="129"/>
      <c r="F151" s="129"/>
      <c r="G151" s="129"/>
      <c r="H151" s="129"/>
      <c r="I151" s="129"/>
      <c r="J151" s="154"/>
      <c r="K151" s="154"/>
      <c r="L151" s="129"/>
      <c r="M151" s="129"/>
      <c r="N151" s="129"/>
      <c r="O151" s="129"/>
      <c r="P151" s="129"/>
      <c r="Q151" s="129"/>
      <c r="R151" s="129"/>
    </row>
    <row r="152" spans="1:18" ht="186.75" customHeight="1">
      <c r="A152" s="129"/>
      <c r="B152" s="129"/>
      <c r="C152" s="129"/>
      <c r="D152" s="135"/>
      <c r="E152" s="129"/>
      <c r="F152" s="129"/>
      <c r="G152" s="139"/>
      <c r="H152" s="139"/>
      <c r="I152" s="129"/>
      <c r="J152" s="129"/>
      <c r="K152" s="129"/>
      <c r="L152" s="129"/>
      <c r="M152" s="129"/>
      <c r="N152" s="129"/>
      <c r="O152" s="129"/>
      <c r="P152" s="129"/>
      <c r="Q152" s="129"/>
      <c r="R152" s="129"/>
    </row>
    <row r="153" spans="1:18" ht="186.75" customHeight="1">
      <c r="A153" s="129"/>
      <c r="B153" s="129"/>
      <c r="C153" s="158"/>
      <c r="D153" s="20"/>
      <c r="E153" s="21"/>
      <c r="F153" s="13"/>
      <c r="G153" s="129"/>
      <c r="H153" s="129"/>
      <c r="I153" s="148"/>
      <c r="J153" s="129"/>
      <c r="K153" s="141"/>
      <c r="L153" s="129"/>
      <c r="M153" s="129"/>
      <c r="N153" s="129"/>
      <c r="O153" s="129"/>
      <c r="P153" s="129"/>
      <c r="Q153" s="129"/>
      <c r="R153" s="129"/>
    </row>
    <row r="154" spans="1:18" ht="186.75" customHeight="1">
      <c r="A154" s="129"/>
      <c r="B154" s="129"/>
      <c r="C154" s="129"/>
      <c r="D154" s="129"/>
      <c r="E154" s="129"/>
      <c r="F154" s="129"/>
      <c r="G154" s="129"/>
      <c r="H154" s="129"/>
      <c r="I154" s="129"/>
      <c r="J154" s="129"/>
      <c r="K154" s="129"/>
      <c r="L154" s="129"/>
      <c r="M154" s="129"/>
      <c r="N154" s="129"/>
      <c r="O154" s="129"/>
      <c r="P154" s="129"/>
      <c r="Q154" s="129"/>
      <c r="R154" s="129"/>
    </row>
    <row r="155" spans="1:18" ht="106.75" customHeight="1">
      <c r="A155" s="129"/>
      <c r="B155" s="137"/>
      <c r="C155" s="149"/>
      <c r="D155" s="7"/>
      <c r="E155" s="10"/>
      <c r="F155" s="148"/>
      <c r="G155" s="129"/>
      <c r="H155" s="129"/>
      <c r="I155" s="148"/>
      <c r="J155" s="129"/>
      <c r="K155" s="141"/>
      <c r="L155" s="129"/>
      <c r="M155" s="129"/>
      <c r="N155" s="129"/>
      <c r="O155" s="129"/>
      <c r="P155" s="129"/>
      <c r="Q155" s="129"/>
      <c r="R155" s="129"/>
    </row>
    <row r="156" spans="1:18" ht="133.25" customHeight="1">
      <c r="A156" s="129"/>
      <c r="B156" s="129"/>
      <c r="C156" s="129"/>
      <c r="D156" s="129"/>
      <c r="E156" s="135"/>
      <c r="F156" s="129"/>
      <c r="G156" s="129"/>
      <c r="H156" s="129"/>
      <c r="I156" s="129"/>
      <c r="J156" s="129"/>
      <c r="K156" s="129"/>
      <c r="L156" s="129"/>
      <c r="M156" s="129"/>
      <c r="N156" s="129"/>
      <c r="O156" s="129"/>
      <c r="P156" s="129"/>
      <c r="Q156" s="129"/>
      <c r="R156" s="129"/>
    </row>
    <row r="157" spans="1:18" ht="121" customHeight="1">
      <c r="A157" s="129"/>
      <c r="B157" s="129"/>
      <c r="C157" s="129"/>
      <c r="D157" s="135"/>
      <c r="E157" s="129"/>
      <c r="F157" s="129"/>
      <c r="G157" s="129"/>
      <c r="H157" s="129"/>
      <c r="I157" s="129"/>
      <c r="J157" s="129"/>
      <c r="K157" s="129"/>
      <c r="L157" s="129"/>
      <c r="M157" s="129"/>
      <c r="N157" s="129"/>
      <c r="O157" s="129"/>
      <c r="P157" s="129"/>
      <c r="Q157" s="129"/>
      <c r="R157" s="129"/>
    </row>
    <row r="158" spans="1:18" ht="160" customHeight="1">
      <c r="A158" s="129"/>
      <c r="B158" s="129"/>
      <c r="C158" s="129"/>
      <c r="D158" s="129"/>
      <c r="E158" s="129"/>
      <c r="F158" s="129"/>
      <c r="G158" s="129"/>
      <c r="H158" s="129"/>
      <c r="I158" s="129"/>
      <c r="J158" s="129"/>
      <c r="K158" s="129"/>
      <c r="L158" s="129"/>
      <c r="M158" s="129"/>
      <c r="N158" s="129"/>
      <c r="O158" s="129"/>
      <c r="P158" s="129"/>
      <c r="Q158" s="129"/>
      <c r="R158" s="129"/>
    </row>
    <row r="159" spans="1:18" ht="133.25" customHeight="1">
      <c r="A159" s="129"/>
      <c r="B159" s="135"/>
      <c r="C159" s="135"/>
      <c r="D159" s="135"/>
      <c r="E159" s="129"/>
      <c r="F159" s="129"/>
      <c r="G159" s="129"/>
      <c r="H159" s="129"/>
      <c r="I159" s="129"/>
      <c r="J159" s="129"/>
      <c r="K159" s="129"/>
      <c r="L159" s="129"/>
      <c r="M159" s="129"/>
      <c r="N159" s="129"/>
      <c r="O159" s="129"/>
      <c r="P159" s="129"/>
      <c r="Q159" s="129"/>
      <c r="R159" s="129"/>
    </row>
    <row r="160" spans="1:18" ht="53.25" customHeight="1">
      <c r="A160" s="129"/>
      <c r="B160" s="137"/>
      <c r="C160" s="129"/>
      <c r="D160" s="129"/>
      <c r="E160" s="129"/>
      <c r="F160" s="129"/>
      <c r="G160" s="129"/>
      <c r="H160" s="141"/>
      <c r="I160" s="129"/>
      <c r="J160" s="154"/>
      <c r="K160" s="129"/>
      <c r="L160" s="129"/>
      <c r="M160" s="129"/>
      <c r="N160" s="129"/>
      <c r="O160" s="129"/>
      <c r="P160" s="129"/>
      <c r="Q160" s="129"/>
      <c r="R160" s="129"/>
    </row>
    <row r="161" spans="1:18" ht="106.75" customHeight="1">
      <c r="A161" s="129"/>
      <c r="B161" s="143"/>
      <c r="C161" s="135"/>
      <c r="D161" s="135"/>
      <c r="E161" s="129"/>
      <c r="F161" s="129"/>
      <c r="G161" s="129"/>
      <c r="H161" s="129"/>
      <c r="I161" s="129"/>
      <c r="J161" s="129"/>
      <c r="K161" s="154"/>
      <c r="L161" s="129"/>
      <c r="M161" s="129"/>
      <c r="N161" s="129"/>
      <c r="O161" s="129"/>
      <c r="P161" s="129"/>
      <c r="Q161" s="129"/>
      <c r="R161" s="129"/>
    </row>
    <row r="162" spans="1:18" ht="409.5" customHeight="1">
      <c r="A162" s="129"/>
      <c r="B162" s="173"/>
      <c r="C162" s="135"/>
      <c r="D162" s="135"/>
      <c r="E162" s="129"/>
      <c r="F162" s="129"/>
      <c r="G162" s="129"/>
      <c r="H162" s="129"/>
      <c r="I162" s="129"/>
      <c r="J162" s="129"/>
      <c r="K162" s="129"/>
      <c r="L162" s="129"/>
      <c r="M162" s="129"/>
      <c r="N162" s="129"/>
      <c r="O162" s="129"/>
      <c r="P162" s="129"/>
      <c r="Q162" s="129"/>
      <c r="R162" s="129"/>
    </row>
    <row r="163" spans="1:18" ht="409.5" customHeight="1">
      <c r="A163" s="129"/>
      <c r="B163" s="144"/>
      <c r="C163" s="129"/>
      <c r="D163" s="129"/>
      <c r="E163" s="135"/>
      <c r="F163" s="129"/>
      <c r="G163" s="129"/>
      <c r="H163" s="129"/>
      <c r="I163" s="129"/>
      <c r="J163" s="129"/>
      <c r="K163" s="129"/>
      <c r="L163" s="129"/>
      <c r="M163" s="23"/>
      <c r="N163" s="8"/>
      <c r="O163" s="129"/>
      <c r="P163" s="129"/>
      <c r="Q163" s="129"/>
      <c r="R163" s="129"/>
    </row>
    <row r="164" spans="1:18" ht="133.25" customHeight="1">
      <c r="A164" s="129"/>
      <c r="B164" s="134"/>
      <c r="C164" s="129"/>
      <c r="D164" s="129"/>
      <c r="E164" s="129"/>
      <c r="F164" s="129"/>
      <c r="G164" s="129"/>
      <c r="H164" s="129"/>
      <c r="I164" s="129"/>
      <c r="J164" s="129"/>
      <c r="K164" s="129"/>
      <c r="L164" s="129"/>
      <c r="M164" s="129"/>
      <c r="N164" s="129"/>
      <c r="O164" s="129"/>
      <c r="P164" s="129"/>
      <c r="Q164" s="129"/>
      <c r="R164" s="129"/>
    </row>
    <row r="165" spans="1:18" ht="160" customHeight="1">
      <c r="A165" s="129"/>
      <c r="B165" s="137"/>
      <c r="C165" s="151"/>
      <c r="D165" s="11"/>
      <c r="E165" s="129"/>
      <c r="F165" s="17"/>
      <c r="G165" s="8"/>
      <c r="H165" s="154"/>
      <c r="I165" s="16"/>
      <c r="J165" s="129"/>
      <c r="K165" s="154"/>
      <c r="L165" s="129"/>
      <c r="M165" s="129"/>
      <c r="N165" s="129"/>
      <c r="O165" s="129"/>
      <c r="P165" s="129"/>
      <c r="Q165" s="129"/>
      <c r="R165" s="129"/>
    </row>
    <row r="166" spans="1:18" ht="240" customHeight="1">
      <c r="A166" s="129"/>
      <c r="B166" s="134"/>
      <c r="C166" s="129"/>
      <c r="D166" s="11"/>
      <c r="E166" s="129"/>
      <c r="F166" s="12"/>
      <c r="G166" s="129"/>
      <c r="H166" s="129"/>
      <c r="I166" s="140"/>
      <c r="J166" s="129"/>
      <c r="K166" s="154"/>
      <c r="L166" s="129"/>
      <c r="M166" s="129"/>
      <c r="N166" s="129"/>
      <c r="O166" s="129"/>
      <c r="P166" s="129"/>
      <c r="Q166" s="129"/>
      <c r="R166" s="129"/>
    </row>
    <row r="167" spans="1:18" ht="213.25" customHeight="1">
      <c r="A167" s="129"/>
      <c r="B167" s="129"/>
      <c r="C167" s="129"/>
      <c r="D167" s="129"/>
      <c r="E167" s="135"/>
      <c r="F167" s="129"/>
      <c r="G167" s="129"/>
      <c r="H167" s="129"/>
      <c r="I167" s="129"/>
      <c r="J167" s="129"/>
      <c r="K167" s="129"/>
      <c r="L167" s="129"/>
      <c r="M167" s="129"/>
      <c r="N167" s="129"/>
      <c r="O167" s="129"/>
      <c r="P167" s="129"/>
      <c r="Q167" s="129"/>
      <c r="R167" s="129"/>
    </row>
    <row r="168" spans="1:18" ht="133.25" customHeight="1">
      <c r="A168" s="129"/>
      <c r="B168" s="137"/>
      <c r="C168" s="129"/>
      <c r="D168" s="11"/>
      <c r="E168" s="129"/>
      <c r="F168" s="12"/>
      <c r="G168" s="140"/>
      <c r="H168" s="154"/>
      <c r="I168" s="151"/>
      <c r="J168" s="154"/>
      <c r="K168" s="154"/>
      <c r="L168" s="129"/>
      <c r="M168" s="129"/>
      <c r="N168" s="129"/>
      <c r="O168" s="129"/>
      <c r="P168" s="129"/>
      <c r="Q168" s="129"/>
      <c r="R168" s="129"/>
    </row>
    <row r="169" spans="1:18" ht="160" customHeight="1">
      <c r="A169" s="129"/>
      <c r="B169" s="129"/>
      <c r="C169" s="129"/>
      <c r="D169" s="129"/>
      <c r="E169" s="129"/>
      <c r="F169" s="129"/>
      <c r="G169" s="129"/>
      <c r="H169" s="129"/>
      <c r="I169" s="129"/>
      <c r="J169" s="129"/>
      <c r="K169" s="129"/>
      <c r="L169" s="129"/>
      <c r="M169" s="129"/>
      <c r="N169" s="129"/>
      <c r="O169" s="129"/>
      <c r="P169" s="129"/>
      <c r="Q169" s="129"/>
      <c r="R169" s="129"/>
    </row>
    <row r="170" spans="1:18" ht="133.25" customHeight="1">
      <c r="A170" s="129"/>
      <c r="B170" s="137"/>
      <c r="C170" s="129"/>
      <c r="D170" s="135"/>
      <c r="E170" s="129"/>
      <c r="F170" s="129"/>
      <c r="G170" s="129"/>
      <c r="H170" s="129"/>
      <c r="I170" s="129"/>
      <c r="J170" s="129"/>
      <c r="K170" s="129"/>
      <c r="L170" s="23"/>
      <c r="M170" s="129"/>
      <c r="N170" s="129"/>
      <c r="O170" s="129"/>
      <c r="P170" s="129"/>
      <c r="Q170" s="129"/>
      <c r="R170" s="129"/>
    </row>
    <row r="171" spans="1:18" ht="186.75" customHeight="1">
      <c r="A171" s="129"/>
      <c r="B171" s="134"/>
      <c r="C171" s="129"/>
      <c r="D171" s="129"/>
      <c r="E171" s="129"/>
      <c r="F171" s="129"/>
      <c r="G171" s="129"/>
      <c r="H171" s="129"/>
      <c r="I171" s="129"/>
      <c r="J171" s="129"/>
      <c r="K171" s="129"/>
      <c r="L171" s="129"/>
      <c r="M171" s="129"/>
      <c r="N171" s="129"/>
      <c r="O171" s="129"/>
      <c r="P171" s="129"/>
      <c r="Q171" s="129"/>
      <c r="R171" s="129"/>
    </row>
    <row r="172" spans="1:18" ht="160" customHeight="1">
      <c r="A172" s="129"/>
      <c r="B172" s="134"/>
      <c r="C172" s="149"/>
      <c r="D172" s="20"/>
      <c r="E172" s="10"/>
      <c r="F172" s="140"/>
      <c r="G172" s="129"/>
      <c r="H172" s="129"/>
      <c r="I172" s="140"/>
      <c r="J172" s="129"/>
      <c r="K172" s="141"/>
      <c r="L172" s="129"/>
      <c r="M172" s="129"/>
      <c r="N172" s="129"/>
      <c r="O172" s="129"/>
      <c r="P172" s="129"/>
      <c r="Q172" s="129"/>
      <c r="R172" s="129"/>
    </row>
    <row r="173" spans="1:18" ht="186.75" customHeight="1">
      <c r="A173" s="129"/>
      <c r="B173" s="137"/>
      <c r="C173" s="129"/>
      <c r="D173" s="129"/>
      <c r="E173" s="129"/>
      <c r="F173" s="129"/>
      <c r="G173" s="129"/>
      <c r="H173" s="129"/>
      <c r="I173" s="129"/>
      <c r="J173" s="129"/>
      <c r="K173" s="129"/>
      <c r="L173" s="129"/>
      <c r="M173" s="129"/>
      <c r="N173" s="129"/>
      <c r="O173" s="129"/>
      <c r="P173" s="129"/>
      <c r="Q173" s="129"/>
      <c r="R173" s="129"/>
    </row>
    <row r="174" spans="1:18" ht="160" customHeight="1">
      <c r="A174" s="129"/>
      <c r="B174" s="129"/>
      <c r="C174" s="129"/>
      <c r="D174" s="129"/>
      <c r="E174" s="129"/>
      <c r="F174" s="129"/>
      <c r="G174" s="129"/>
      <c r="H174" s="129"/>
      <c r="I174" s="129"/>
      <c r="J174" s="129"/>
      <c r="K174" s="129"/>
      <c r="L174" s="129"/>
      <c r="M174" s="129"/>
      <c r="N174" s="129"/>
      <c r="O174" s="129"/>
      <c r="P174" s="129"/>
      <c r="Q174" s="129"/>
      <c r="R174" s="129"/>
    </row>
    <row r="175" spans="1:18" ht="106.75" customHeight="1">
      <c r="A175" s="129"/>
      <c r="B175" s="137"/>
      <c r="C175" s="129"/>
      <c r="D175" s="129"/>
      <c r="E175" s="129"/>
      <c r="F175" s="129"/>
      <c r="G175" s="129"/>
      <c r="H175" s="129"/>
      <c r="I175" s="129"/>
      <c r="J175" s="129"/>
      <c r="K175" s="129"/>
      <c r="L175" s="129"/>
      <c r="M175" s="129"/>
      <c r="N175" s="129"/>
      <c r="O175" s="129"/>
      <c r="P175" s="129"/>
      <c r="Q175" s="129"/>
      <c r="R175" s="129"/>
    </row>
    <row r="176" spans="1:18" ht="133.25" customHeight="1">
      <c r="A176" s="129"/>
      <c r="B176" s="129"/>
      <c r="C176" s="129"/>
      <c r="D176" s="129"/>
      <c r="E176" s="129"/>
      <c r="F176" s="129"/>
      <c r="G176" s="129"/>
      <c r="H176" s="129"/>
      <c r="I176" s="129"/>
      <c r="J176" s="129"/>
      <c r="K176" s="129"/>
      <c r="L176" s="129"/>
      <c r="M176" s="129"/>
      <c r="N176" s="129"/>
      <c r="O176" s="129"/>
      <c r="P176" s="129"/>
      <c r="Q176" s="129"/>
      <c r="R176" s="129"/>
    </row>
    <row r="177" spans="1:18" ht="160" customHeight="1">
      <c r="A177" s="129"/>
      <c r="B177" s="174"/>
      <c r="C177" s="139"/>
      <c r="D177" s="135"/>
      <c r="E177" s="129"/>
      <c r="F177" s="129"/>
      <c r="G177" s="129"/>
      <c r="H177" s="129"/>
      <c r="I177" s="129"/>
      <c r="J177" s="129"/>
      <c r="K177" s="129"/>
      <c r="L177" s="129"/>
      <c r="M177" s="129"/>
      <c r="N177" s="129"/>
      <c r="O177" s="129"/>
      <c r="P177" s="129"/>
      <c r="Q177" s="129"/>
      <c r="R177" s="129"/>
    </row>
    <row r="178" spans="1:18" ht="133.25" customHeight="1">
      <c r="A178" s="129"/>
      <c r="B178" s="134"/>
      <c r="C178" s="129"/>
      <c r="D178" s="129"/>
      <c r="E178" s="10"/>
      <c r="F178" s="129"/>
      <c r="G178" s="129"/>
      <c r="H178" s="129"/>
      <c r="I178" s="129"/>
      <c r="J178" s="129"/>
      <c r="K178" s="129"/>
      <c r="L178" s="129"/>
      <c r="M178" s="129"/>
      <c r="N178" s="129"/>
      <c r="O178" s="129"/>
      <c r="P178" s="129"/>
      <c r="Q178" s="129"/>
      <c r="R178" s="129"/>
    </row>
    <row r="179" spans="1:18" ht="160" customHeight="1">
      <c r="A179" s="129"/>
      <c r="B179" s="129"/>
      <c r="C179" s="129"/>
      <c r="D179" s="129"/>
      <c r="E179" s="129"/>
      <c r="F179" s="129"/>
      <c r="G179" s="129"/>
      <c r="H179" s="129"/>
      <c r="I179" s="129"/>
      <c r="J179" s="129"/>
      <c r="K179" s="129"/>
      <c r="L179" s="129"/>
      <c r="M179" s="23"/>
      <c r="N179" s="129"/>
      <c r="O179" s="129"/>
      <c r="P179" s="129"/>
      <c r="Q179" s="129"/>
      <c r="R179" s="129"/>
    </row>
    <row r="180" spans="1:18" ht="133.25" customHeight="1">
      <c r="A180" s="129"/>
      <c r="B180" s="129"/>
      <c r="C180" s="129"/>
      <c r="D180" s="129"/>
      <c r="E180" s="129"/>
      <c r="F180" s="129"/>
      <c r="G180" s="129"/>
      <c r="H180" s="129"/>
      <c r="I180" s="129"/>
      <c r="J180" s="129"/>
      <c r="K180" s="129"/>
      <c r="L180" s="129"/>
      <c r="M180" s="129"/>
      <c r="N180" s="129"/>
      <c r="O180" s="129"/>
      <c r="P180" s="129"/>
      <c r="Q180" s="129"/>
      <c r="R180" s="129"/>
    </row>
    <row r="181" spans="1:18" ht="133.25" customHeight="1">
      <c r="A181" s="129"/>
      <c r="B181" s="137"/>
      <c r="C181" s="129"/>
      <c r="D181" s="129"/>
      <c r="E181" s="129"/>
      <c r="F181" s="129"/>
      <c r="G181" s="129"/>
      <c r="H181" s="129"/>
      <c r="I181" s="129"/>
      <c r="J181" s="129"/>
      <c r="K181" s="140"/>
      <c r="L181" s="129"/>
      <c r="M181" s="129"/>
      <c r="N181" s="129"/>
      <c r="O181" s="129"/>
      <c r="P181" s="129"/>
      <c r="Q181" s="129"/>
      <c r="R181" s="129"/>
    </row>
    <row r="182" spans="1:18" ht="186.75" customHeight="1">
      <c r="A182" s="129"/>
      <c r="B182" s="129"/>
      <c r="C182" s="129"/>
      <c r="D182" s="129"/>
      <c r="E182" s="129"/>
      <c r="F182" s="139"/>
      <c r="G182" s="129"/>
      <c r="H182" s="129"/>
      <c r="I182" s="129"/>
      <c r="J182" s="129"/>
      <c r="K182" s="129"/>
      <c r="L182" s="129"/>
      <c r="M182" s="129"/>
      <c r="N182" s="129"/>
      <c r="O182" s="129"/>
      <c r="P182" s="129"/>
      <c r="Q182" s="129"/>
      <c r="R182" s="129"/>
    </row>
    <row r="183" spans="1:18" ht="160" customHeight="1">
      <c r="A183" s="129"/>
      <c r="B183" s="129"/>
      <c r="C183" s="129"/>
      <c r="D183" s="129"/>
      <c r="E183" s="129"/>
      <c r="F183" s="129"/>
      <c r="G183" s="129"/>
      <c r="H183" s="129"/>
      <c r="I183" s="129"/>
      <c r="J183" s="129"/>
      <c r="K183" s="129"/>
      <c r="L183" s="129"/>
      <c r="M183" s="129"/>
      <c r="N183" s="129"/>
      <c r="O183" s="129"/>
      <c r="P183" s="129"/>
      <c r="Q183" s="129"/>
      <c r="R183" s="129"/>
    </row>
    <row r="184" spans="1:18" ht="160" customHeight="1">
      <c r="A184" s="129"/>
      <c r="B184" s="137"/>
      <c r="C184" s="129"/>
      <c r="D184" s="129"/>
      <c r="E184" s="129"/>
      <c r="F184" s="129"/>
      <c r="G184" s="129"/>
      <c r="H184" s="129"/>
      <c r="I184" s="129"/>
      <c r="J184" s="129"/>
      <c r="K184" s="129"/>
      <c r="L184" s="129"/>
      <c r="M184" s="129"/>
      <c r="N184" s="129"/>
      <c r="O184" s="129"/>
      <c r="P184" s="129"/>
      <c r="Q184" s="129"/>
      <c r="R184" s="129"/>
    </row>
    <row r="185" spans="1:18" ht="133.25" customHeight="1">
      <c r="A185" s="129"/>
      <c r="B185" s="137"/>
      <c r="C185" s="129"/>
      <c r="D185" s="11"/>
      <c r="E185" s="129"/>
      <c r="F185" s="129"/>
      <c r="G185" s="129"/>
      <c r="H185" s="129"/>
      <c r="I185" s="129"/>
      <c r="J185" s="129"/>
      <c r="K185" s="129"/>
      <c r="L185" s="129"/>
      <c r="M185" s="129"/>
      <c r="N185" s="129"/>
      <c r="O185" s="129"/>
      <c r="P185" s="129"/>
      <c r="Q185" s="129"/>
      <c r="R185" s="129"/>
    </row>
    <row r="186" spans="1:18" ht="409.5" customHeight="1">
      <c r="A186" s="129"/>
      <c r="B186" s="137"/>
      <c r="C186" s="151"/>
      <c r="D186" s="140"/>
      <c r="E186" s="129"/>
      <c r="F186" s="12"/>
      <c r="G186" s="129"/>
      <c r="H186" s="129"/>
      <c r="I186" s="13"/>
      <c r="J186" s="129"/>
      <c r="K186" s="151"/>
      <c r="L186" s="129"/>
      <c r="M186" s="129"/>
      <c r="N186" s="129"/>
      <c r="O186" s="129"/>
      <c r="P186" s="129"/>
      <c r="Q186" s="129"/>
      <c r="R186" s="129"/>
    </row>
    <row r="187" spans="1:18" ht="186.75" customHeight="1">
      <c r="A187" s="129"/>
      <c r="B187" s="129"/>
      <c r="C187" s="129"/>
      <c r="D187" s="129"/>
      <c r="E187" s="129"/>
      <c r="F187" s="129"/>
      <c r="G187" s="129"/>
      <c r="H187" s="129"/>
      <c r="I187" s="129"/>
      <c r="J187" s="129"/>
      <c r="K187" s="129"/>
      <c r="L187" s="129"/>
      <c r="M187" s="129"/>
      <c r="N187" s="129"/>
      <c r="O187" s="129"/>
      <c r="P187" s="129"/>
      <c r="Q187" s="129"/>
      <c r="R187" s="129"/>
    </row>
    <row r="188" spans="1:18" ht="213.25" customHeight="1">
      <c r="A188" s="129"/>
      <c r="B188" s="129"/>
      <c r="C188" s="129"/>
      <c r="D188" s="129"/>
      <c r="E188" s="135"/>
      <c r="F188" s="129"/>
      <c r="G188" s="129"/>
      <c r="H188" s="129"/>
      <c r="I188" s="129"/>
      <c r="J188" s="129"/>
      <c r="K188" s="129"/>
      <c r="L188" s="129"/>
      <c r="M188" s="129"/>
      <c r="N188" s="129"/>
      <c r="O188" s="129"/>
      <c r="P188" s="129"/>
      <c r="Q188" s="129"/>
      <c r="R188" s="129"/>
    </row>
    <row r="189" spans="1:18" ht="133.25" customHeight="1">
      <c r="A189" s="129"/>
      <c r="B189" s="137"/>
      <c r="C189" s="129"/>
      <c r="D189" s="11"/>
      <c r="E189" s="129"/>
      <c r="F189" s="12"/>
      <c r="G189" s="129"/>
      <c r="H189" s="129"/>
      <c r="I189" s="155"/>
      <c r="J189" s="129"/>
      <c r="K189" s="129"/>
      <c r="L189" s="129"/>
      <c r="M189" s="129"/>
      <c r="N189" s="129"/>
      <c r="O189" s="129"/>
      <c r="P189" s="129"/>
      <c r="Q189" s="129"/>
      <c r="R189" s="129"/>
    </row>
    <row r="190" spans="1:18" ht="160" customHeight="1">
      <c r="A190" s="129"/>
      <c r="B190" s="137"/>
      <c r="C190" s="129"/>
      <c r="D190" s="129"/>
      <c r="E190" s="129"/>
      <c r="F190" s="12"/>
      <c r="G190" s="129"/>
      <c r="H190" s="129"/>
      <c r="I190" s="193"/>
      <c r="J190" s="129"/>
      <c r="K190" s="129"/>
      <c r="L190" s="129"/>
      <c r="M190" s="129"/>
      <c r="N190" s="129"/>
      <c r="O190" s="129"/>
      <c r="P190" s="129"/>
      <c r="Q190" s="145"/>
      <c r="R190" s="145"/>
    </row>
    <row r="191" spans="1:18" ht="106.75" customHeight="1">
      <c r="A191" s="129"/>
      <c r="B191" s="129"/>
      <c r="C191" s="129"/>
      <c r="D191" s="129"/>
      <c r="E191" s="129"/>
      <c r="F191" s="129"/>
      <c r="G191" s="129"/>
      <c r="H191" s="129"/>
      <c r="I191" s="129"/>
      <c r="J191" s="129"/>
      <c r="K191" s="129"/>
      <c r="L191" s="129"/>
      <c r="M191" s="129"/>
      <c r="N191" s="129"/>
      <c r="O191" s="129"/>
      <c r="P191" s="129"/>
      <c r="Q191" s="129"/>
      <c r="R191" s="129"/>
    </row>
    <row r="192" spans="1:18" ht="186.75" customHeight="1">
      <c r="A192" s="129"/>
      <c r="B192" s="137"/>
      <c r="C192" s="129"/>
      <c r="D192" s="129"/>
      <c r="E192" s="129"/>
      <c r="F192" s="129"/>
      <c r="G192" s="129"/>
      <c r="H192" s="129"/>
      <c r="I192" s="129"/>
      <c r="J192" s="129"/>
      <c r="K192" s="129"/>
      <c r="L192" s="129"/>
      <c r="M192" s="129"/>
      <c r="N192" s="129"/>
      <c r="O192" s="129"/>
      <c r="P192" s="129"/>
      <c r="Q192" s="129"/>
      <c r="R192" s="129"/>
    </row>
    <row r="193" spans="1:18" ht="240" customHeight="1">
      <c r="A193" s="129"/>
      <c r="B193" s="137"/>
      <c r="C193" s="129"/>
      <c r="D193" s="129"/>
      <c r="E193" s="129"/>
      <c r="F193" s="129"/>
      <c r="G193" s="154"/>
      <c r="H193" s="129"/>
      <c r="I193" s="129"/>
      <c r="J193" s="154"/>
      <c r="K193" s="141"/>
      <c r="L193" s="129"/>
      <c r="M193" s="129"/>
      <c r="N193" s="129"/>
      <c r="O193" s="129"/>
      <c r="P193" s="129"/>
      <c r="Q193" s="129"/>
      <c r="R193" s="129"/>
    </row>
    <row r="194" spans="1:18" ht="133.25" customHeight="1">
      <c r="A194" s="129"/>
      <c r="B194" s="137"/>
      <c r="C194" s="129"/>
      <c r="D194" s="129"/>
      <c r="E194" s="129"/>
      <c r="F194" s="129"/>
      <c r="G194" s="129"/>
      <c r="H194" s="129"/>
      <c r="I194" s="129"/>
      <c r="J194" s="129"/>
      <c r="K194" s="129"/>
      <c r="L194" s="129"/>
      <c r="M194" s="129"/>
      <c r="N194" s="129"/>
      <c r="O194" s="129"/>
      <c r="P194" s="129"/>
      <c r="Q194" s="129"/>
      <c r="R194" s="129"/>
    </row>
    <row r="195" spans="1:18" ht="106.75" customHeight="1">
      <c r="A195" s="129"/>
      <c r="B195" s="135"/>
      <c r="C195" s="135"/>
      <c r="D195" s="135"/>
      <c r="E195" s="129"/>
      <c r="F195" s="139"/>
      <c r="G195" s="129"/>
      <c r="H195" s="129"/>
      <c r="I195" s="129"/>
      <c r="J195" s="129"/>
      <c r="K195" s="129"/>
      <c r="L195" s="129"/>
      <c r="M195" s="129"/>
      <c r="N195" s="129"/>
      <c r="O195" s="129"/>
      <c r="P195" s="129"/>
      <c r="Q195" s="129"/>
      <c r="R195" s="129"/>
    </row>
    <row r="196" spans="1:18" ht="160" customHeight="1">
      <c r="A196" s="129"/>
      <c r="B196" s="129"/>
      <c r="C196" s="129"/>
      <c r="D196" s="135"/>
      <c r="E196" s="129"/>
      <c r="F196" s="129"/>
      <c r="G196" s="129"/>
      <c r="H196" s="129"/>
      <c r="I196" s="129"/>
      <c r="J196" s="129"/>
      <c r="K196" s="129"/>
      <c r="L196" s="129"/>
      <c r="M196" s="129"/>
      <c r="N196" s="129"/>
      <c r="O196" s="129"/>
      <c r="P196" s="129"/>
      <c r="Q196" s="129"/>
      <c r="R196" s="129"/>
    </row>
    <row r="197" spans="1:18" ht="160" customHeight="1">
      <c r="A197" s="129"/>
      <c r="B197" s="139"/>
      <c r="C197" s="139"/>
      <c r="D197" s="129"/>
      <c r="E197" s="129"/>
      <c r="F197" s="129"/>
      <c r="G197" s="129"/>
      <c r="H197" s="129"/>
      <c r="I197" s="129"/>
      <c r="J197" s="129"/>
      <c r="K197" s="129"/>
      <c r="L197" s="129"/>
      <c r="M197" s="129"/>
      <c r="N197" s="129"/>
      <c r="O197" s="129"/>
      <c r="P197" s="129"/>
      <c r="Q197" s="129"/>
      <c r="R197" s="129"/>
    </row>
    <row r="198" spans="1:18" ht="160" customHeight="1">
      <c r="A198" s="129"/>
      <c r="B198" s="129"/>
      <c r="C198" s="149"/>
      <c r="D198" s="7"/>
      <c r="E198" s="140"/>
      <c r="F198" s="148"/>
      <c r="G198" s="129"/>
      <c r="H198" s="129"/>
      <c r="I198" s="140"/>
      <c r="J198" s="129"/>
      <c r="K198" s="141"/>
      <c r="L198" s="129"/>
      <c r="M198" s="129"/>
      <c r="N198" s="129"/>
      <c r="O198" s="129"/>
      <c r="P198" s="129"/>
      <c r="Q198" s="129"/>
      <c r="R198" s="129"/>
    </row>
    <row r="199" spans="1:18" ht="106.75" customHeight="1">
      <c r="A199" s="129"/>
      <c r="B199" s="175"/>
      <c r="C199" s="176"/>
      <c r="D199" s="135"/>
      <c r="E199" s="129"/>
      <c r="F199" s="129"/>
      <c r="G199" s="129"/>
      <c r="H199" s="129"/>
      <c r="I199" s="129"/>
      <c r="J199" s="129"/>
      <c r="K199" s="129"/>
      <c r="L199" s="129"/>
      <c r="M199" s="129"/>
      <c r="N199" s="129"/>
      <c r="O199" s="129"/>
      <c r="P199" s="129"/>
      <c r="Q199" s="129"/>
      <c r="R199" s="129"/>
    </row>
    <row r="200" spans="1:18" ht="133.25" customHeight="1">
      <c r="A200" s="129"/>
      <c r="B200" s="137"/>
      <c r="C200" s="151"/>
      <c r="D200" s="11"/>
      <c r="E200" s="7"/>
      <c r="F200" s="12"/>
      <c r="G200" s="129"/>
      <c r="H200" s="154"/>
      <c r="I200" s="16"/>
      <c r="J200" s="154"/>
      <c r="K200" s="151"/>
      <c r="L200" s="129"/>
      <c r="M200" s="129"/>
      <c r="N200" s="129"/>
      <c r="O200" s="129"/>
      <c r="P200" s="129"/>
      <c r="Q200" s="129"/>
      <c r="R200" s="129"/>
    </row>
    <row r="201" spans="1:18" ht="160" customHeight="1">
      <c r="A201" s="129"/>
      <c r="B201" s="143"/>
      <c r="C201" s="135"/>
      <c r="D201" s="135"/>
      <c r="E201" s="129"/>
      <c r="F201" s="129"/>
      <c r="G201" s="129"/>
      <c r="H201" s="129"/>
      <c r="I201" s="129"/>
      <c r="J201" s="129"/>
      <c r="K201" s="151"/>
      <c r="L201" s="129"/>
      <c r="M201" s="129"/>
      <c r="N201" s="129"/>
      <c r="O201" s="129"/>
      <c r="P201" s="129"/>
      <c r="Q201" s="129"/>
      <c r="R201" s="129"/>
    </row>
    <row r="202" spans="1:18" ht="133.25" customHeight="1">
      <c r="A202" s="129"/>
      <c r="B202" s="129"/>
      <c r="C202" s="129"/>
      <c r="D202" s="129"/>
      <c r="E202" s="129"/>
      <c r="F202" s="129"/>
      <c r="G202" s="129"/>
      <c r="H202" s="129"/>
      <c r="I202" s="129"/>
      <c r="J202" s="129"/>
      <c r="K202" s="129"/>
      <c r="L202" s="129"/>
      <c r="M202" s="129"/>
      <c r="N202" s="129"/>
      <c r="O202" s="129"/>
      <c r="P202" s="129"/>
      <c r="Q202" s="129"/>
      <c r="R202" s="129"/>
    </row>
    <row r="203" spans="1:18" ht="133.25" customHeight="1">
      <c r="A203" s="129"/>
      <c r="B203" s="129"/>
      <c r="C203" s="129"/>
      <c r="D203" s="129"/>
      <c r="E203" s="129"/>
      <c r="F203" s="129"/>
      <c r="G203" s="129"/>
      <c r="H203" s="129"/>
      <c r="I203" s="129"/>
      <c r="J203" s="129"/>
      <c r="K203" s="129"/>
      <c r="L203" s="129"/>
      <c r="M203" s="129"/>
      <c r="N203" s="129"/>
      <c r="O203" s="129"/>
      <c r="P203" s="129"/>
      <c r="Q203" s="129"/>
      <c r="R203" s="129"/>
    </row>
    <row r="204" spans="1:18" ht="213.25" customHeight="1">
      <c r="A204" s="129"/>
      <c r="B204" s="137"/>
      <c r="C204" s="129"/>
      <c r="D204" s="129"/>
      <c r="E204" s="129"/>
      <c r="F204" s="129"/>
      <c r="G204" s="129"/>
      <c r="H204" s="129"/>
      <c r="I204" s="129"/>
      <c r="J204" s="129"/>
      <c r="K204" s="129"/>
      <c r="L204" s="129"/>
      <c r="M204" s="129"/>
      <c r="N204" s="129"/>
      <c r="O204" s="129"/>
      <c r="P204" s="129"/>
      <c r="Q204" s="129"/>
      <c r="R204" s="129"/>
    </row>
    <row r="205" spans="1:18" ht="240" customHeight="1">
      <c r="A205" s="129"/>
      <c r="B205" s="134"/>
      <c r="C205" s="129"/>
      <c r="D205" s="129"/>
      <c r="E205" s="129"/>
      <c r="F205" s="129"/>
      <c r="G205" s="129"/>
      <c r="H205" s="154"/>
      <c r="I205" s="129"/>
      <c r="J205" s="129"/>
      <c r="K205" s="129"/>
      <c r="L205" s="129"/>
      <c r="M205" s="129"/>
      <c r="N205" s="129"/>
      <c r="O205" s="129"/>
      <c r="P205" s="129"/>
      <c r="Q205" s="129"/>
      <c r="R205" s="129"/>
    </row>
    <row r="206" spans="1:18" ht="213.25" customHeight="1">
      <c r="A206" s="129"/>
      <c r="B206" s="129"/>
      <c r="C206" s="156"/>
      <c r="D206" s="20"/>
      <c r="E206" s="129"/>
      <c r="F206" s="148"/>
      <c r="G206" s="129"/>
      <c r="H206" s="129"/>
      <c r="I206" s="148"/>
      <c r="J206" s="129"/>
      <c r="K206" s="14"/>
      <c r="L206" s="129"/>
      <c r="M206" s="129"/>
      <c r="N206" s="129"/>
      <c r="O206" s="129"/>
      <c r="P206" s="129"/>
      <c r="Q206" s="129"/>
      <c r="R206" s="129"/>
    </row>
    <row r="207" spans="1:18" ht="186.75" customHeight="1">
      <c r="A207" s="129"/>
      <c r="B207" s="129"/>
      <c r="C207" s="129"/>
      <c r="D207" s="129"/>
      <c r="E207" s="10"/>
      <c r="F207" s="129"/>
      <c r="G207" s="129"/>
      <c r="H207" s="129"/>
      <c r="I207" s="129"/>
      <c r="J207" s="129"/>
      <c r="K207" s="129"/>
      <c r="L207" s="129"/>
      <c r="M207" s="129"/>
      <c r="N207" s="129"/>
      <c r="O207" s="129"/>
      <c r="P207" s="129"/>
      <c r="Q207" s="129"/>
      <c r="R207" s="129"/>
    </row>
    <row r="208" spans="1:18" ht="160" customHeight="1">
      <c r="A208" s="129"/>
      <c r="B208" s="135"/>
      <c r="C208" s="135"/>
      <c r="D208" s="135"/>
      <c r="E208" s="129"/>
      <c r="F208" s="129"/>
      <c r="G208" s="129"/>
      <c r="H208" s="129"/>
      <c r="I208" s="129"/>
      <c r="J208" s="129"/>
      <c r="K208" s="129"/>
      <c r="L208" s="129"/>
      <c r="M208" s="129"/>
      <c r="N208" s="129"/>
      <c r="O208" s="129"/>
      <c r="P208" s="129"/>
      <c r="Q208" s="129"/>
      <c r="R208" s="129"/>
    </row>
    <row r="209" spans="1:18" ht="106.75" customHeight="1">
      <c r="A209" s="129"/>
      <c r="B209" s="137"/>
      <c r="C209" s="129"/>
      <c r="D209" s="129"/>
      <c r="E209" s="129"/>
      <c r="F209" s="129"/>
      <c r="G209" s="129"/>
      <c r="H209" s="129"/>
      <c r="I209" s="129"/>
      <c r="J209" s="129"/>
      <c r="K209" s="151"/>
      <c r="L209" s="129"/>
      <c r="M209" s="129"/>
      <c r="N209" s="129"/>
      <c r="O209" s="129"/>
      <c r="P209" s="129"/>
      <c r="Q209" s="129"/>
      <c r="R209" s="129"/>
    </row>
    <row r="210" spans="1:18" ht="186.75" customHeight="1">
      <c r="A210" s="129"/>
      <c r="B210" s="137"/>
      <c r="C210" s="129"/>
      <c r="D210" s="11"/>
      <c r="E210" s="129"/>
      <c r="F210" s="12"/>
      <c r="G210" s="154"/>
      <c r="H210" s="129"/>
      <c r="I210" s="14"/>
      <c r="J210" s="129"/>
      <c r="K210" s="154"/>
      <c r="L210" s="129"/>
      <c r="M210" s="129"/>
      <c r="N210" s="129"/>
      <c r="O210" s="129"/>
      <c r="P210" s="129"/>
      <c r="Q210" s="129"/>
      <c r="R210" s="129"/>
    </row>
    <row r="211" spans="1:18" ht="106.75" customHeight="1">
      <c r="A211" s="129"/>
      <c r="B211" s="129"/>
      <c r="C211" s="140"/>
      <c r="D211" s="7"/>
      <c r="E211" s="140"/>
      <c r="F211" s="148"/>
      <c r="G211" s="129"/>
      <c r="H211" s="129"/>
      <c r="I211" s="8"/>
      <c r="J211" s="129"/>
      <c r="K211" s="141"/>
      <c r="L211" s="129"/>
      <c r="M211" s="129"/>
      <c r="N211" s="129"/>
      <c r="O211" s="129"/>
      <c r="P211" s="129"/>
      <c r="Q211" s="129"/>
      <c r="R211" s="129"/>
    </row>
    <row r="212" spans="1:18" ht="133.25" customHeight="1">
      <c r="A212" s="129"/>
      <c r="B212" s="129"/>
      <c r="C212" s="129"/>
      <c r="D212" s="129"/>
      <c r="E212" s="129"/>
      <c r="F212" s="129"/>
      <c r="G212" s="129"/>
      <c r="H212" s="129"/>
      <c r="I212" s="129"/>
      <c r="J212" s="129"/>
      <c r="K212" s="129"/>
      <c r="L212" s="129"/>
      <c r="M212" s="129"/>
      <c r="N212" s="129"/>
      <c r="O212" s="129"/>
      <c r="P212" s="129"/>
      <c r="Q212" s="129"/>
      <c r="R212" s="129"/>
    </row>
    <row r="213" spans="1:18" ht="320" customHeight="1">
      <c r="A213" s="129"/>
      <c r="B213" s="137"/>
      <c r="C213" s="129"/>
      <c r="D213" s="129"/>
      <c r="E213" s="129"/>
      <c r="F213" s="129"/>
      <c r="G213" s="154"/>
      <c r="H213" s="154"/>
      <c r="I213" s="129"/>
      <c r="J213" s="154"/>
      <c r="K213" s="129"/>
      <c r="L213" s="129"/>
      <c r="M213" s="129"/>
      <c r="N213" s="129"/>
      <c r="O213" s="129"/>
      <c r="P213" s="129"/>
      <c r="Q213" s="129"/>
      <c r="R213" s="129"/>
    </row>
    <row r="214" spans="1:18" ht="160" customHeight="1">
      <c r="A214" s="129"/>
      <c r="B214" s="137"/>
      <c r="C214" s="129"/>
      <c r="D214" s="129"/>
      <c r="E214" s="129"/>
      <c r="F214" s="129"/>
      <c r="G214" s="154"/>
      <c r="H214" s="129"/>
      <c r="I214" s="129"/>
      <c r="J214" s="129"/>
      <c r="K214" s="154"/>
      <c r="L214" s="129"/>
      <c r="M214" s="129"/>
      <c r="N214" s="129"/>
      <c r="O214" s="129"/>
      <c r="P214" s="129"/>
      <c r="Q214" s="129"/>
      <c r="R214" s="129"/>
    </row>
    <row r="215" spans="1:18" ht="240" customHeight="1">
      <c r="A215" s="129"/>
      <c r="B215" s="129"/>
      <c r="C215" s="129"/>
      <c r="D215" s="129"/>
      <c r="E215" s="129"/>
      <c r="F215" s="129"/>
      <c r="G215" s="129"/>
      <c r="H215" s="129"/>
      <c r="I215" s="129"/>
      <c r="J215" s="129"/>
      <c r="K215" s="129"/>
      <c r="L215" s="129"/>
      <c r="M215" s="129"/>
      <c r="N215" s="129"/>
      <c r="O215" s="129"/>
      <c r="P215" s="129"/>
      <c r="Q215" s="129"/>
      <c r="R215" s="129"/>
    </row>
    <row r="216" spans="1:18" ht="160" customHeight="1">
      <c r="A216" s="129"/>
      <c r="B216" s="134"/>
      <c r="C216" s="129"/>
      <c r="D216" s="129"/>
      <c r="E216" s="129"/>
      <c r="F216" s="129"/>
      <c r="G216" s="154"/>
      <c r="H216" s="154"/>
      <c r="I216" s="129"/>
      <c r="J216" s="129"/>
      <c r="K216" s="154"/>
      <c r="L216" s="129"/>
      <c r="M216" s="129"/>
      <c r="N216" s="129"/>
      <c r="O216" s="129"/>
      <c r="P216" s="129"/>
      <c r="Q216" s="129"/>
      <c r="R216" s="129"/>
    </row>
    <row r="217" spans="1:18" ht="213.25" customHeight="1">
      <c r="A217" s="129"/>
      <c r="B217" s="129"/>
      <c r="C217" s="156"/>
      <c r="D217" s="129"/>
      <c r="E217" s="129"/>
      <c r="F217" s="13"/>
      <c r="G217" s="129"/>
      <c r="H217" s="129"/>
      <c r="I217" s="155"/>
      <c r="J217" s="129"/>
      <c r="K217" s="14"/>
      <c r="L217" s="129"/>
      <c r="M217" s="129"/>
      <c r="N217" s="129"/>
      <c r="O217" s="129"/>
      <c r="P217" s="129"/>
      <c r="Q217" s="129"/>
      <c r="R217" s="129"/>
    </row>
    <row r="218" spans="1:18" ht="160" customHeight="1">
      <c r="A218" s="129"/>
      <c r="B218" s="135"/>
      <c r="C218" s="135"/>
      <c r="D218" s="129"/>
      <c r="E218" s="129"/>
      <c r="F218" s="129"/>
      <c r="G218" s="129"/>
      <c r="H218" s="129"/>
      <c r="I218" s="129"/>
      <c r="J218" s="129"/>
      <c r="K218" s="129"/>
      <c r="L218" s="129"/>
      <c r="M218" s="129"/>
      <c r="N218" s="129"/>
      <c r="O218" s="129"/>
      <c r="P218" s="129"/>
      <c r="Q218" s="129"/>
      <c r="R218" s="129"/>
    </row>
    <row r="219" spans="1:18" ht="213.25" customHeight="1">
      <c r="A219" s="129"/>
      <c r="B219" s="137"/>
      <c r="C219" s="129"/>
      <c r="D219" s="129"/>
      <c r="E219" s="129"/>
      <c r="F219" s="129"/>
      <c r="G219" s="129"/>
      <c r="H219" s="154"/>
      <c r="I219" s="129"/>
      <c r="J219" s="141"/>
      <c r="K219" s="141"/>
      <c r="L219" s="129"/>
      <c r="M219" s="129"/>
      <c r="N219" s="129"/>
      <c r="O219" s="129"/>
      <c r="P219" s="129"/>
      <c r="Q219" s="129"/>
      <c r="R219" s="129"/>
    </row>
    <row r="220" spans="1:18" ht="106.75" customHeight="1">
      <c r="A220" s="129"/>
      <c r="B220" s="143"/>
      <c r="C220" s="135"/>
      <c r="D220" s="129"/>
      <c r="E220" s="129"/>
      <c r="F220" s="129"/>
      <c r="G220" s="129"/>
      <c r="H220" s="129"/>
      <c r="I220" s="129"/>
      <c r="J220" s="154"/>
      <c r="K220" s="129"/>
      <c r="L220" s="129"/>
      <c r="M220" s="129"/>
      <c r="N220" s="129"/>
      <c r="O220" s="129"/>
      <c r="P220" s="129"/>
      <c r="Q220" s="129"/>
      <c r="R220" s="129"/>
    </row>
    <row r="221" spans="1:18" ht="160" customHeight="1">
      <c r="A221" s="129"/>
      <c r="B221" s="129"/>
      <c r="C221" s="129"/>
      <c r="D221" s="129"/>
      <c r="E221" s="135"/>
      <c r="F221" s="129"/>
      <c r="G221" s="129"/>
      <c r="H221" s="129"/>
      <c r="I221" s="129"/>
      <c r="J221" s="129"/>
      <c r="K221" s="141"/>
      <c r="L221" s="129"/>
      <c r="M221" s="129"/>
      <c r="N221" s="129"/>
      <c r="O221" s="129"/>
      <c r="P221" s="129"/>
      <c r="Q221" s="129"/>
      <c r="R221" s="129"/>
    </row>
    <row r="222" spans="1:18" ht="133.25" customHeight="1">
      <c r="A222" s="129"/>
      <c r="B222" s="129"/>
      <c r="C222" s="129"/>
      <c r="D222" s="135"/>
      <c r="E222" s="129"/>
      <c r="F222" s="129"/>
      <c r="G222" s="129"/>
      <c r="H222" s="129"/>
      <c r="I222" s="129"/>
      <c r="J222" s="129"/>
      <c r="K222" s="129"/>
      <c r="L222" s="129"/>
      <c r="M222" s="129"/>
      <c r="N222" s="129"/>
      <c r="O222" s="129"/>
      <c r="P222" s="129"/>
      <c r="Q222" s="129"/>
      <c r="R222" s="129"/>
    </row>
    <row r="223" spans="1:18" ht="213.25" customHeight="1">
      <c r="A223" s="129"/>
      <c r="B223" s="129"/>
      <c r="C223" s="129"/>
      <c r="D223" s="129"/>
      <c r="E223" s="129"/>
      <c r="F223" s="129"/>
      <c r="G223" s="129"/>
      <c r="H223" s="129"/>
      <c r="I223" s="129"/>
      <c r="J223" s="129"/>
      <c r="K223" s="129"/>
      <c r="L223" s="129"/>
      <c r="M223" s="129"/>
      <c r="N223" s="129"/>
      <c r="O223" s="129"/>
      <c r="P223" s="129"/>
      <c r="Q223" s="129"/>
      <c r="R223" s="129"/>
    </row>
    <row r="224" spans="1:18" ht="186.75" customHeight="1">
      <c r="A224" s="129"/>
      <c r="B224" s="129"/>
      <c r="C224" s="129"/>
      <c r="D224" s="129"/>
      <c r="E224" s="129"/>
      <c r="F224" s="129"/>
      <c r="G224" s="129"/>
      <c r="H224" s="129"/>
      <c r="I224" s="129"/>
      <c r="J224" s="129"/>
      <c r="K224" s="129"/>
      <c r="L224" s="129"/>
      <c r="M224" s="129"/>
      <c r="N224" s="129"/>
      <c r="O224" s="129"/>
      <c r="P224" s="129"/>
      <c r="Q224" s="129"/>
      <c r="R224" s="129"/>
    </row>
    <row r="225" spans="1:18" ht="213.25" customHeight="1">
      <c r="A225" s="129"/>
      <c r="B225" s="129"/>
      <c r="C225" s="149"/>
      <c r="D225" s="20"/>
      <c r="E225" s="10"/>
      <c r="F225" s="140"/>
      <c r="G225" s="129"/>
      <c r="H225" s="129"/>
      <c r="I225" s="140"/>
      <c r="J225" s="129"/>
      <c r="K225" s="141"/>
      <c r="L225" s="129"/>
      <c r="M225" s="129"/>
      <c r="N225" s="129"/>
      <c r="O225" s="129"/>
      <c r="P225" s="129"/>
      <c r="Q225" s="129"/>
      <c r="R225" s="129"/>
    </row>
    <row r="226" spans="1:18" ht="133.25" customHeight="1">
      <c r="A226" s="129"/>
      <c r="B226" s="135"/>
      <c r="C226" s="135"/>
      <c r="D226" s="129"/>
      <c r="E226" s="129"/>
      <c r="F226" s="129"/>
      <c r="G226" s="129"/>
      <c r="H226" s="129"/>
      <c r="I226" s="129"/>
      <c r="J226" s="129"/>
      <c r="K226" s="129"/>
      <c r="L226" s="129"/>
      <c r="M226" s="129"/>
      <c r="N226" s="129"/>
      <c r="O226" s="129"/>
      <c r="P226" s="129"/>
      <c r="Q226" s="129"/>
      <c r="R226" s="129"/>
    </row>
    <row r="227" spans="1:18" ht="186.75" customHeight="1">
      <c r="A227" s="129"/>
      <c r="B227" s="137"/>
      <c r="C227" s="129"/>
      <c r="D227" s="129"/>
      <c r="E227" s="129"/>
      <c r="F227" s="129"/>
      <c r="G227" s="129"/>
      <c r="H227" s="129"/>
      <c r="I227" s="129"/>
      <c r="J227" s="129"/>
      <c r="K227" s="129"/>
      <c r="L227" s="129"/>
      <c r="M227" s="129"/>
      <c r="N227" s="129"/>
      <c r="O227" s="129"/>
      <c r="P227" s="129"/>
      <c r="Q227" s="129"/>
      <c r="R227" s="129"/>
    </row>
    <row r="228" spans="1:18" ht="133.25" customHeight="1">
      <c r="A228" s="129"/>
      <c r="B228" s="143"/>
      <c r="C228" s="135"/>
      <c r="D228" s="129"/>
      <c r="E228" s="129"/>
      <c r="F228" s="129"/>
      <c r="G228" s="129"/>
      <c r="H228" s="129"/>
      <c r="I228" s="129"/>
      <c r="J228" s="129"/>
      <c r="K228" s="154"/>
      <c r="L228" s="129"/>
      <c r="M228" s="129"/>
      <c r="N228" s="129"/>
      <c r="O228" s="129"/>
      <c r="P228" s="129"/>
      <c r="Q228" s="129"/>
      <c r="R228" s="129"/>
    </row>
    <row r="229" spans="1:18" ht="106.75" customHeight="1">
      <c r="A229" s="129"/>
      <c r="B229" s="135"/>
      <c r="C229" s="135"/>
      <c r="D229" s="129"/>
      <c r="E229" s="129"/>
      <c r="F229" s="129"/>
      <c r="G229" s="129"/>
      <c r="H229" s="129"/>
      <c r="I229" s="129"/>
      <c r="J229" s="129"/>
      <c r="K229" s="129"/>
      <c r="L229" s="129"/>
      <c r="M229" s="129"/>
      <c r="N229" s="129"/>
      <c r="O229" s="129"/>
      <c r="P229" s="129"/>
      <c r="Q229" s="129"/>
      <c r="R229" s="129"/>
    </row>
    <row r="230" spans="1:18" ht="186.75" customHeight="1">
      <c r="A230" s="129"/>
      <c r="B230" s="129"/>
      <c r="C230" s="149"/>
      <c r="D230" s="20"/>
      <c r="E230" s="140"/>
      <c r="F230" s="148"/>
      <c r="G230" s="129"/>
      <c r="H230" s="129"/>
      <c r="I230" s="140"/>
      <c r="J230" s="129"/>
      <c r="K230" s="141"/>
      <c r="L230" s="129"/>
      <c r="M230" s="129"/>
      <c r="N230" s="129"/>
      <c r="O230" s="129"/>
      <c r="P230" s="129"/>
      <c r="Q230" s="129"/>
      <c r="R230" s="129"/>
    </row>
    <row r="231" spans="1:18" ht="160" customHeight="1">
      <c r="A231" s="129"/>
      <c r="B231" s="129"/>
      <c r="C231" s="129"/>
      <c r="D231" s="129"/>
      <c r="E231" s="129"/>
      <c r="F231" s="129"/>
      <c r="G231" s="129"/>
      <c r="H231" s="129"/>
      <c r="I231" s="129"/>
      <c r="J231" s="129"/>
      <c r="K231" s="129"/>
      <c r="L231" s="129"/>
      <c r="M231" s="129"/>
      <c r="N231" s="129"/>
      <c r="O231" s="129"/>
      <c r="P231" s="129"/>
      <c r="Q231" s="129"/>
      <c r="R231" s="129"/>
    </row>
    <row r="232" spans="1:18" ht="160" customHeight="1">
      <c r="A232" s="129"/>
      <c r="B232" s="129"/>
      <c r="C232" s="129"/>
      <c r="D232" s="129"/>
      <c r="E232" s="129"/>
      <c r="F232" s="129"/>
      <c r="G232" s="129"/>
      <c r="H232" s="129"/>
      <c r="I232" s="129"/>
      <c r="J232" s="129"/>
      <c r="K232" s="129"/>
      <c r="L232" s="129"/>
      <c r="M232" s="129"/>
      <c r="N232" s="129"/>
      <c r="O232" s="129"/>
      <c r="P232" s="129"/>
      <c r="Q232" s="129"/>
      <c r="R232" s="129"/>
    </row>
    <row r="233" spans="1:18" ht="160" customHeight="1">
      <c r="A233" s="129"/>
      <c r="B233" s="143"/>
      <c r="C233" s="135"/>
      <c r="D233" s="129"/>
      <c r="E233" s="129"/>
      <c r="F233" s="129"/>
      <c r="G233" s="129"/>
      <c r="H233" s="129"/>
      <c r="I233" s="129"/>
      <c r="J233" s="129"/>
      <c r="K233" s="129"/>
      <c r="L233" s="129"/>
      <c r="M233" s="129"/>
      <c r="N233" s="129"/>
      <c r="O233" s="129"/>
      <c r="P233" s="129"/>
      <c r="Q233" s="129"/>
      <c r="R233" s="129"/>
    </row>
    <row r="234" spans="1:18" ht="186.75" customHeight="1">
      <c r="A234" s="129"/>
      <c r="B234" s="129"/>
      <c r="C234" s="22"/>
      <c r="D234" s="7"/>
      <c r="E234" s="10"/>
      <c r="F234" s="148"/>
      <c r="G234" s="129"/>
      <c r="H234" s="129"/>
      <c r="I234" s="148"/>
      <c r="J234" s="129"/>
      <c r="K234" s="18"/>
      <c r="L234" s="129"/>
      <c r="M234" s="129"/>
      <c r="N234" s="129"/>
      <c r="O234" s="129"/>
      <c r="P234" s="129"/>
      <c r="Q234" s="129"/>
      <c r="R234" s="129"/>
    </row>
    <row r="235" spans="1:18" ht="106.75" customHeight="1">
      <c r="A235" s="129"/>
      <c r="B235" s="135"/>
      <c r="C235" s="135"/>
      <c r="D235" s="135"/>
      <c r="E235" s="129"/>
      <c r="F235" s="129"/>
      <c r="G235" s="129"/>
      <c r="H235" s="129"/>
      <c r="I235" s="129"/>
      <c r="J235" s="129"/>
      <c r="K235" s="129"/>
      <c r="L235" s="129"/>
      <c r="M235" s="129"/>
      <c r="N235" s="129"/>
      <c r="O235" s="129"/>
      <c r="P235" s="129"/>
      <c r="Q235" s="129"/>
      <c r="R235" s="129"/>
    </row>
    <row r="236" spans="1:18" ht="213.25" customHeight="1">
      <c r="A236" s="129"/>
      <c r="B236" s="147"/>
      <c r="C236" s="177"/>
      <c r="D236" s="129"/>
      <c r="E236" s="129"/>
      <c r="F236" s="129"/>
      <c r="G236" s="129"/>
      <c r="H236" s="129"/>
      <c r="I236" s="129"/>
      <c r="J236" s="129"/>
      <c r="K236" s="129"/>
      <c r="L236" s="129"/>
      <c r="M236" s="23"/>
      <c r="N236" s="8"/>
      <c r="O236" s="129"/>
      <c r="P236" s="129"/>
      <c r="Q236" s="129"/>
      <c r="R236" s="129"/>
    </row>
    <row r="237" spans="1:18" ht="133.25" customHeight="1">
      <c r="A237" s="129"/>
      <c r="B237" s="129"/>
      <c r="C237" s="129"/>
      <c r="D237" s="129"/>
      <c r="E237" s="129"/>
      <c r="F237" s="129"/>
      <c r="G237" s="129"/>
      <c r="H237" s="129"/>
      <c r="I237" s="129"/>
      <c r="J237" s="129"/>
      <c r="K237" s="129"/>
      <c r="L237" s="129"/>
      <c r="M237" s="8"/>
      <c r="N237" s="8"/>
      <c r="O237" s="129"/>
      <c r="P237" s="129"/>
      <c r="Q237" s="129"/>
      <c r="R237" s="129"/>
    </row>
    <row r="238" spans="1:18" ht="213.25" customHeight="1">
      <c r="A238" s="129"/>
      <c r="B238" s="137"/>
      <c r="C238" s="129"/>
      <c r="D238" s="135"/>
      <c r="E238" s="129"/>
      <c r="F238" s="139"/>
      <c r="G238" s="129"/>
      <c r="H238" s="129"/>
      <c r="I238" s="129"/>
      <c r="J238" s="129"/>
      <c r="K238" s="129"/>
      <c r="L238" s="129"/>
      <c r="M238" s="8"/>
      <c r="N238" s="8"/>
      <c r="O238" s="129"/>
      <c r="P238" s="129"/>
      <c r="Q238" s="129"/>
      <c r="R238" s="129"/>
    </row>
    <row r="239" spans="1:18" ht="133.25" customHeight="1">
      <c r="A239" s="129"/>
      <c r="B239" s="137"/>
      <c r="C239" s="129"/>
      <c r="D239" s="135"/>
      <c r="E239" s="129"/>
      <c r="F239" s="129"/>
      <c r="G239" s="129"/>
      <c r="H239" s="129"/>
      <c r="I239" s="129"/>
      <c r="J239" s="129"/>
      <c r="K239" s="129"/>
      <c r="L239" s="129"/>
      <c r="M239" s="8"/>
      <c r="N239" s="8"/>
      <c r="O239" s="129"/>
      <c r="P239" s="129"/>
      <c r="Q239" s="129"/>
      <c r="R239" s="129"/>
    </row>
    <row r="240" spans="1:18" ht="153" customHeight="1">
      <c r="A240" s="129"/>
      <c r="B240" s="129"/>
      <c r="C240" s="129"/>
      <c r="D240" s="129"/>
      <c r="E240" s="129"/>
      <c r="F240" s="129"/>
      <c r="G240" s="129"/>
      <c r="H240" s="129"/>
      <c r="I240" s="129"/>
      <c r="J240" s="129"/>
      <c r="K240" s="129"/>
      <c r="L240" s="129"/>
      <c r="M240" s="8"/>
      <c r="N240" s="8"/>
      <c r="O240" s="129"/>
      <c r="P240" s="129"/>
      <c r="Q240" s="129"/>
      <c r="R240" s="129"/>
    </row>
    <row r="241" spans="1:18" ht="160" customHeight="1">
      <c r="A241" s="129"/>
      <c r="B241" s="129"/>
      <c r="C241" s="129"/>
      <c r="D241" s="129"/>
      <c r="E241" s="129"/>
      <c r="F241" s="129"/>
      <c r="G241" s="129"/>
      <c r="H241" s="129"/>
      <c r="I241" s="129"/>
      <c r="J241" s="129"/>
      <c r="K241" s="129"/>
      <c r="L241" s="129"/>
      <c r="M241" s="8"/>
      <c r="N241" s="8"/>
      <c r="O241" s="129"/>
      <c r="P241" s="129"/>
      <c r="Q241" s="129"/>
      <c r="R241" s="129"/>
    </row>
    <row r="242" spans="1:18" ht="87" customHeight="1">
      <c r="A242" s="129"/>
      <c r="B242" s="137"/>
      <c r="C242" s="129"/>
      <c r="D242" s="129"/>
      <c r="E242" s="129"/>
      <c r="F242" s="129"/>
      <c r="G242" s="129"/>
      <c r="H242" s="129"/>
      <c r="I242" s="129"/>
      <c r="J242" s="129"/>
      <c r="K242" s="129"/>
      <c r="L242" s="129"/>
      <c r="M242" s="8"/>
      <c r="N242" s="8"/>
      <c r="O242" s="129"/>
      <c r="P242" s="129"/>
      <c r="Q242" s="129"/>
      <c r="R242" s="129"/>
    </row>
    <row r="243" spans="1:18" ht="90.75" customHeight="1">
      <c r="A243" s="129"/>
      <c r="B243" s="137"/>
      <c r="C243" s="129"/>
      <c r="D243" s="129"/>
      <c r="E243" s="135"/>
      <c r="F243" s="129"/>
      <c r="G243" s="129"/>
      <c r="H243" s="129"/>
      <c r="I243" s="129"/>
      <c r="J243" s="129"/>
      <c r="K243" s="129"/>
      <c r="L243" s="129"/>
      <c r="M243" s="8"/>
      <c r="N243" s="8"/>
      <c r="O243" s="129"/>
      <c r="P243" s="129"/>
      <c r="Q243" s="129"/>
      <c r="R243" s="129"/>
    </row>
    <row r="244" spans="1:18" ht="138.75" customHeight="1">
      <c r="A244" s="129"/>
      <c r="B244" s="137"/>
      <c r="C244" s="129"/>
      <c r="D244" s="129"/>
      <c r="E244" s="129"/>
      <c r="F244" s="129"/>
      <c r="G244" s="129"/>
      <c r="H244" s="129"/>
      <c r="I244" s="129"/>
      <c r="J244" s="129"/>
      <c r="K244" s="129"/>
      <c r="L244" s="129"/>
      <c r="M244" s="8"/>
      <c r="N244" s="8"/>
      <c r="O244" s="129"/>
      <c r="P244" s="129"/>
      <c r="Q244" s="129"/>
      <c r="R244" s="129"/>
    </row>
    <row r="245" spans="1:18" ht="161.75" customHeight="1">
      <c r="A245" s="129"/>
      <c r="B245" s="178"/>
      <c r="C245" s="135"/>
      <c r="D245" s="135"/>
      <c r="E245" s="129"/>
      <c r="F245" s="129"/>
      <c r="G245" s="129"/>
      <c r="H245" s="129"/>
      <c r="I245" s="129"/>
      <c r="J245" s="129"/>
      <c r="K245" s="129"/>
      <c r="L245" s="129"/>
      <c r="M245" s="129"/>
      <c r="N245" s="129"/>
      <c r="O245" s="129"/>
      <c r="P245" s="129"/>
      <c r="Q245" s="129"/>
      <c r="R245" s="129"/>
    </row>
    <row r="246" spans="1:18" ht="115.75" customHeight="1">
      <c r="A246" s="129"/>
      <c r="B246" s="134"/>
      <c r="C246" s="129"/>
      <c r="D246" s="135"/>
      <c r="E246" s="129"/>
      <c r="F246" s="129"/>
      <c r="G246" s="129"/>
      <c r="H246" s="129"/>
      <c r="I246" s="129"/>
      <c r="J246" s="129"/>
      <c r="K246" s="129"/>
      <c r="L246" s="129"/>
      <c r="M246" s="129"/>
      <c r="N246" s="129"/>
      <c r="O246" s="129"/>
      <c r="P246" s="129"/>
      <c r="Q246" s="129"/>
      <c r="R246" s="129"/>
    </row>
    <row r="247" spans="1:18" ht="186.75" customHeight="1">
      <c r="A247" s="129"/>
      <c r="B247" s="137"/>
      <c r="C247" s="129"/>
      <c r="D247" s="152"/>
      <c r="E247" s="129"/>
      <c r="F247" s="129"/>
      <c r="G247" s="129"/>
      <c r="H247" s="129"/>
      <c r="I247" s="129"/>
      <c r="J247" s="129"/>
      <c r="K247" s="129"/>
      <c r="L247" s="129"/>
      <c r="M247" s="129"/>
      <c r="N247" s="129"/>
      <c r="O247" s="129"/>
      <c r="P247" s="129"/>
      <c r="Q247" s="129"/>
      <c r="R247" s="129"/>
    </row>
    <row r="248" spans="1:18" ht="92.25" customHeight="1">
      <c r="A248" s="129"/>
      <c r="B248" s="137"/>
      <c r="C248" s="129"/>
      <c r="D248" s="129"/>
      <c r="E248" s="129"/>
      <c r="F248" s="129"/>
      <c r="G248" s="129"/>
      <c r="H248" s="129"/>
      <c r="I248" s="129"/>
      <c r="J248" s="129"/>
      <c r="K248" s="129"/>
      <c r="L248" s="129"/>
      <c r="M248" s="23"/>
      <c r="N248" s="129"/>
      <c r="O248" s="129"/>
      <c r="P248" s="129"/>
      <c r="Q248" s="129"/>
      <c r="R248" s="129"/>
    </row>
    <row r="249" spans="1:18" ht="69.25" customHeight="1">
      <c r="A249" s="129"/>
      <c r="B249" s="137"/>
      <c r="C249" s="129"/>
      <c r="D249" s="129"/>
      <c r="E249" s="129"/>
      <c r="F249" s="129"/>
      <c r="G249" s="129"/>
      <c r="H249" s="129"/>
      <c r="I249" s="129"/>
      <c r="J249" s="129"/>
      <c r="K249" s="129"/>
      <c r="L249" s="129"/>
      <c r="M249" s="129"/>
      <c r="N249" s="129"/>
      <c r="O249" s="129"/>
      <c r="P249" s="129"/>
      <c r="Q249" s="129"/>
      <c r="R249" s="129"/>
    </row>
    <row r="250" spans="1:18" ht="161.75" customHeight="1">
      <c r="A250" s="129"/>
      <c r="B250" s="137"/>
      <c r="C250" s="129"/>
      <c r="D250" s="129"/>
      <c r="E250" s="129"/>
      <c r="F250" s="129"/>
      <c r="G250" s="129"/>
      <c r="H250" s="129"/>
      <c r="I250" s="129"/>
      <c r="J250" s="129"/>
      <c r="K250" s="129"/>
      <c r="L250" s="129"/>
      <c r="M250" s="129"/>
      <c r="N250" s="129"/>
      <c r="O250" s="129"/>
      <c r="P250" s="129"/>
      <c r="Q250" s="129"/>
      <c r="R250" s="129"/>
    </row>
    <row r="251" spans="1:18" ht="161.75" customHeight="1">
      <c r="A251" s="129"/>
      <c r="B251" s="137"/>
      <c r="C251" s="129"/>
      <c r="D251" s="11"/>
      <c r="E251" s="129"/>
      <c r="F251" s="12"/>
      <c r="G251" s="129"/>
      <c r="H251" s="129"/>
      <c r="I251" s="155"/>
      <c r="J251" s="129"/>
      <c r="K251" s="129"/>
      <c r="L251" s="129"/>
      <c r="M251" s="129"/>
      <c r="N251" s="129"/>
      <c r="O251" s="129"/>
      <c r="P251" s="129"/>
      <c r="Q251" s="129"/>
      <c r="R251" s="129"/>
    </row>
    <row r="252" spans="1:18" ht="185" customHeight="1">
      <c r="A252" s="129"/>
      <c r="B252" s="137"/>
      <c r="C252" s="129"/>
      <c r="D252" s="129"/>
      <c r="E252" s="129"/>
      <c r="F252" s="136"/>
      <c r="G252" s="136"/>
      <c r="H252" s="136"/>
      <c r="I252" s="129"/>
      <c r="J252" s="129"/>
      <c r="K252" s="129"/>
      <c r="L252" s="129"/>
      <c r="M252" s="129"/>
      <c r="N252" s="129"/>
      <c r="O252" s="129"/>
      <c r="P252" s="129"/>
      <c r="Q252" s="129"/>
      <c r="R252" s="129"/>
    </row>
    <row r="253" spans="1:18" ht="138.75" customHeight="1">
      <c r="A253" s="129"/>
      <c r="B253" s="137"/>
      <c r="C253" s="129"/>
      <c r="D253" s="129"/>
      <c r="E253" s="129"/>
      <c r="F253" s="129"/>
      <c r="G253" s="129"/>
      <c r="H253" s="129"/>
      <c r="I253" s="129"/>
      <c r="J253" s="129"/>
      <c r="K253" s="129"/>
      <c r="L253" s="129"/>
      <c r="M253" s="129"/>
      <c r="N253" s="129"/>
      <c r="O253" s="129"/>
      <c r="P253" s="129"/>
      <c r="Q253" s="129"/>
      <c r="R253" s="129"/>
    </row>
    <row r="254" spans="1:18" ht="92.25" customHeight="1">
      <c r="A254" s="129"/>
      <c r="B254" s="137"/>
      <c r="C254" s="129"/>
      <c r="D254" s="129"/>
      <c r="E254" s="129"/>
      <c r="F254" s="129"/>
      <c r="G254" s="129"/>
      <c r="H254" s="129"/>
      <c r="I254" s="129"/>
      <c r="J254" s="129"/>
      <c r="K254" s="129"/>
      <c r="L254" s="129"/>
      <c r="M254" s="129"/>
      <c r="N254" s="129"/>
      <c r="O254" s="129"/>
      <c r="P254" s="129"/>
      <c r="Q254" s="129"/>
      <c r="R254" s="129"/>
    </row>
    <row r="255" spans="1:18" ht="185" customHeight="1">
      <c r="A255" s="129"/>
      <c r="B255" s="137"/>
      <c r="C255" s="129"/>
      <c r="D255" s="129"/>
      <c r="E255" s="129"/>
      <c r="F255" s="129"/>
      <c r="G255" s="129"/>
      <c r="H255" s="129"/>
      <c r="I255" s="129"/>
      <c r="J255" s="129"/>
      <c r="K255" s="129"/>
      <c r="L255" s="129"/>
      <c r="M255" s="129"/>
      <c r="N255" s="129"/>
      <c r="O255" s="129"/>
      <c r="P255" s="129"/>
      <c r="Q255" s="129"/>
      <c r="R255" s="129"/>
    </row>
    <row r="256" spans="1:18" ht="106.75" customHeight="1">
      <c r="A256" s="129"/>
      <c r="B256" s="137"/>
      <c r="C256" s="129"/>
      <c r="D256" s="129"/>
      <c r="E256" s="129"/>
      <c r="F256" s="129"/>
      <c r="G256" s="129"/>
      <c r="H256" s="129"/>
      <c r="I256" s="129"/>
      <c r="J256" s="129"/>
      <c r="K256" s="129"/>
      <c r="L256" s="129"/>
      <c r="M256" s="129"/>
      <c r="N256" s="129"/>
      <c r="O256" s="129"/>
      <c r="P256" s="129"/>
      <c r="Q256" s="129"/>
      <c r="R256" s="129"/>
    </row>
    <row r="257" spans="1:18" ht="346.75" customHeight="1">
      <c r="A257" s="129"/>
      <c r="B257" s="137"/>
      <c r="C257" s="129"/>
      <c r="D257" s="129"/>
      <c r="E257" s="129"/>
      <c r="F257" s="129"/>
      <c r="G257" s="129"/>
      <c r="H257" s="129"/>
      <c r="I257" s="129"/>
      <c r="J257" s="129"/>
      <c r="K257" s="129"/>
      <c r="L257" s="129"/>
      <c r="M257" s="129"/>
      <c r="N257" s="129"/>
      <c r="O257" s="129"/>
      <c r="P257" s="129"/>
      <c r="Q257" s="129"/>
      <c r="R257" s="129"/>
    </row>
    <row r="258" spans="1:18" ht="161.75" customHeight="1">
      <c r="A258" s="129"/>
      <c r="B258" s="137"/>
      <c r="C258" s="22"/>
      <c r="D258" s="140"/>
      <c r="E258" s="10"/>
      <c r="F258" s="148"/>
      <c r="G258" s="129"/>
      <c r="H258" s="129"/>
      <c r="I258" s="148"/>
      <c r="J258" s="129"/>
      <c r="K258" s="141"/>
      <c r="L258" s="129"/>
      <c r="M258" s="129"/>
      <c r="N258" s="129"/>
      <c r="O258" s="129"/>
      <c r="P258" s="129"/>
      <c r="Q258" s="129"/>
      <c r="R258" s="129"/>
    </row>
    <row r="259" spans="1:18" ht="138.75" customHeight="1">
      <c r="A259" s="129"/>
      <c r="B259" s="137"/>
      <c r="C259" s="129"/>
      <c r="D259" s="129"/>
      <c r="E259" s="129"/>
      <c r="F259" s="129"/>
      <c r="G259" s="129"/>
      <c r="H259" s="129"/>
      <c r="I259" s="129"/>
      <c r="J259" s="129"/>
      <c r="K259" s="129"/>
      <c r="L259" s="129"/>
      <c r="M259" s="129"/>
      <c r="N259" s="129"/>
      <c r="O259" s="129"/>
      <c r="P259" s="129"/>
      <c r="Q259" s="129"/>
      <c r="R259" s="129"/>
    </row>
    <row r="260" spans="1:18" ht="161.75" customHeight="1">
      <c r="A260" s="129"/>
      <c r="B260" s="137"/>
      <c r="C260" s="129"/>
      <c r="D260" s="129"/>
      <c r="E260" s="129"/>
      <c r="F260" s="129"/>
      <c r="G260" s="129"/>
      <c r="H260" s="129"/>
      <c r="I260" s="129"/>
      <c r="J260" s="129"/>
      <c r="K260" s="129"/>
      <c r="L260" s="129"/>
      <c r="M260" s="129"/>
      <c r="N260" s="129"/>
      <c r="O260" s="129"/>
      <c r="P260" s="129"/>
      <c r="Q260" s="129"/>
      <c r="R260" s="129"/>
    </row>
    <row r="261" spans="1:18" ht="161.75" customHeight="1">
      <c r="A261" s="129"/>
      <c r="B261" s="137"/>
      <c r="C261" s="129"/>
      <c r="D261" s="129"/>
      <c r="E261" s="129"/>
      <c r="F261" s="129"/>
      <c r="G261" s="129"/>
      <c r="H261" s="129"/>
      <c r="I261" s="129"/>
      <c r="J261" s="129"/>
      <c r="K261" s="129"/>
      <c r="L261" s="129"/>
      <c r="M261" s="129"/>
      <c r="N261" s="129"/>
      <c r="O261" s="129"/>
      <c r="P261" s="129"/>
      <c r="Q261" s="129"/>
      <c r="R261" s="129"/>
    </row>
    <row r="262" spans="1:18" ht="250.75" customHeight="1">
      <c r="A262" s="129"/>
      <c r="B262" s="137"/>
      <c r="C262" s="129"/>
      <c r="D262" s="7"/>
      <c r="E262" s="129"/>
      <c r="F262" s="12"/>
      <c r="G262" s="129"/>
      <c r="H262" s="129"/>
      <c r="I262" s="155"/>
      <c r="J262" s="129"/>
      <c r="K262" s="179"/>
      <c r="L262" s="129"/>
      <c r="M262" s="129"/>
      <c r="N262" s="129"/>
      <c r="O262" s="129"/>
      <c r="P262" s="129"/>
      <c r="Q262" s="129"/>
      <c r="R262" s="129"/>
    </row>
    <row r="263" spans="1:18" ht="240" customHeight="1">
      <c r="A263" s="129"/>
      <c r="B263" s="147"/>
      <c r="C263" s="177"/>
      <c r="D263" s="129"/>
      <c r="E263" s="129"/>
      <c r="F263" s="129"/>
      <c r="G263" s="129"/>
      <c r="H263" s="129"/>
      <c r="I263" s="129"/>
      <c r="J263" s="129"/>
      <c r="K263" s="129"/>
      <c r="L263" s="129"/>
      <c r="M263" s="129"/>
      <c r="N263" s="129"/>
      <c r="O263" s="129"/>
      <c r="P263" s="129"/>
      <c r="Q263" s="129"/>
      <c r="R263" s="129"/>
    </row>
    <row r="264" spans="1:18" ht="133.25" customHeight="1">
      <c r="A264" s="129"/>
      <c r="B264" s="129"/>
      <c r="C264" s="129"/>
      <c r="D264" s="135"/>
      <c r="E264" s="129"/>
      <c r="F264" s="129"/>
      <c r="G264" s="129"/>
      <c r="H264" s="129"/>
      <c r="I264" s="129"/>
      <c r="J264" s="129"/>
      <c r="K264" s="129"/>
      <c r="L264" s="129"/>
      <c r="M264" s="129"/>
      <c r="N264" s="129"/>
      <c r="O264" s="129"/>
      <c r="P264" s="129"/>
      <c r="Q264" s="129"/>
      <c r="R264" s="129"/>
    </row>
    <row r="265" spans="1:18" ht="160" customHeight="1">
      <c r="A265" s="129"/>
      <c r="B265" s="129"/>
      <c r="C265" s="129"/>
      <c r="D265" s="129"/>
      <c r="E265" s="129"/>
      <c r="F265" s="129"/>
      <c r="G265" s="129"/>
      <c r="H265" s="129"/>
      <c r="I265" s="129"/>
      <c r="J265" s="129"/>
      <c r="K265" s="129"/>
      <c r="L265" s="129"/>
      <c r="M265" s="129"/>
      <c r="N265" s="129"/>
      <c r="O265" s="129"/>
      <c r="P265" s="129"/>
      <c r="Q265" s="129"/>
      <c r="R265" s="129"/>
    </row>
    <row r="266" spans="1:18" ht="188" customHeight="1">
      <c r="A266" s="129"/>
      <c r="B266" s="134"/>
      <c r="C266" s="129"/>
      <c r="D266" s="129"/>
      <c r="E266" s="129"/>
      <c r="F266" s="129"/>
      <c r="G266" s="7"/>
      <c r="H266" s="7"/>
      <c r="I266" s="8"/>
      <c r="J266" s="129"/>
      <c r="K266" s="154"/>
      <c r="L266" s="129"/>
      <c r="M266" s="129"/>
      <c r="N266" s="129"/>
      <c r="O266" s="129"/>
      <c r="P266" s="129"/>
      <c r="Q266" s="129"/>
      <c r="R266" s="129"/>
    </row>
    <row r="267" spans="1:18" ht="348.25" customHeight="1">
      <c r="A267" s="129"/>
      <c r="B267" s="129"/>
      <c r="C267" s="129"/>
      <c r="D267" s="129"/>
      <c r="E267" s="129"/>
      <c r="F267" s="129"/>
      <c r="G267" s="129"/>
      <c r="H267" s="129"/>
      <c r="I267" s="129"/>
      <c r="J267" s="129"/>
      <c r="K267" s="129"/>
      <c r="L267" s="129"/>
      <c r="M267" s="129"/>
      <c r="N267" s="129"/>
      <c r="O267" s="129"/>
      <c r="P267" s="129"/>
      <c r="Q267" s="129"/>
      <c r="R267" s="129"/>
    </row>
    <row r="268" spans="1:18" ht="124.25" customHeight="1">
      <c r="A268" s="129"/>
      <c r="B268" s="129"/>
      <c r="C268" s="129"/>
      <c r="D268" s="129"/>
      <c r="E268" s="129"/>
      <c r="F268" s="129"/>
      <c r="G268" s="129"/>
      <c r="H268" s="129"/>
      <c r="I268" s="129"/>
      <c r="J268" s="129"/>
      <c r="K268" s="129"/>
      <c r="L268" s="129"/>
      <c r="M268" s="129"/>
      <c r="N268" s="129"/>
      <c r="O268" s="129"/>
      <c r="P268" s="129"/>
      <c r="Q268" s="129"/>
      <c r="R268" s="129"/>
    </row>
    <row r="269" spans="1:18">
      <c r="A269" s="129"/>
      <c r="B269" s="129"/>
      <c r="C269" s="149"/>
      <c r="D269" s="140"/>
      <c r="E269" s="10"/>
      <c r="F269" s="148"/>
      <c r="G269" s="129"/>
      <c r="H269" s="129"/>
      <c r="I269" s="148"/>
      <c r="J269" s="129"/>
      <c r="K269" s="141"/>
      <c r="L269" s="129"/>
      <c r="M269" s="129"/>
      <c r="N269" s="129"/>
      <c r="O269" s="129"/>
      <c r="P269" s="129"/>
      <c r="Q269" s="129"/>
      <c r="R269" s="129"/>
    </row>
    <row r="270" spans="1:18" ht="80" customHeight="1">
      <c r="A270" s="129"/>
      <c r="B270" s="129"/>
      <c r="C270" s="129"/>
      <c r="D270" s="129"/>
      <c r="E270" s="129"/>
      <c r="F270" s="129"/>
      <c r="G270" s="129"/>
      <c r="H270" s="129"/>
      <c r="I270" s="129"/>
      <c r="J270" s="129"/>
      <c r="K270" s="129"/>
      <c r="L270" s="129"/>
      <c r="M270" s="129"/>
      <c r="N270" s="129"/>
      <c r="O270" s="129"/>
      <c r="P270" s="129"/>
      <c r="Q270" s="129"/>
      <c r="R270" s="129"/>
    </row>
    <row r="271" spans="1:18">
      <c r="A271" s="129"/>
      <c r="B271" s="129"/>
      <c r="C271" s="129"/>
      <c r="D271" s="129"/>
      <c r="E271" s="129"/>
      <c r="F271" s="129"/>
      <c r="G271" s="129"/>
      <c r="H271" s="129"/>
      <c r="I271" s="129"/>
      <c r="J271" s="129"/>
      <c r="K271" s="129"/>
      <c r="L271" s="129"/>
      <c r="M271" s="129"/>
      <c r="N271" s="129"/>
      <c r="O271" s="129"/>
      <c r="P271" s="129"/>
      <c r="Q271" s="129"/>
      <c r="R271" s="129"/>
    </row>
    <row r="272" spans="1:18" ht="135" customHeight="1">
      <c r="A272" s="129"/>
      <c r="B272" s="129"/>
      <c r="C272" s="158"/>
      <c r="D272" s="20"/>
      <c r="E272" s="21"/>
      <c r="F272" s="148"/>
      <c r="G272" s="129"/>
      <c r="H272" s="159"/>
      <c r="I272" s="180"/>
      <c r="J272" s="129"/>
      <c r="K272" s="140"/>
      <c r="L272" s="129"/>
      <c r="M272" s="129"/>
      <c r="N272" s="129"/>
      <c r="O272" s="129"/>
      <c r="P272" s="129"/>
      <c r="Q272" s="129"/>
      <c r="R272" s="129"/>
    </row>
    <row r="273" spans="1:31" ht="133.25" customHeight="1">
      <c r="A273" s="129"/>
      <c r="B273" s="129"/>
      <c r="C273" s="129"/>
      <c r="D273" s="129"/>
      <c r="E273" s="129"/>
      <c r="F273" s="129"/>
      <c r="G273" s="129"/>
      <c r="H273" s="129"/>
      <c r="I273" s="129"/>
      <c r="J273" s="129"/>
      <c r="K273" s="129"/>
      <c r="L273" s="129"/>
      <c r="M273" s="129"/>
      <c r="N273" s="129"/>
      <c r="O273" s="129"/>
      <c r="P273" s="129"/>
      <c r="Q273" s="129"/>
      <c r="R273" s="129"/>
    </row>
    <row r="274" spans="1:31" ht="113.75" customHeight="1">
      <c r="A274" s="129"/>
      <c r="B274" s="129"/>
      <c r="C274" s="129"/>
      <c r="D274" s="129"/>
      <c r="E274" s="129"/>
      <c r="F274" s="129"/>
      <c r="G274" s="129"/>
      <c r="H274" s="129"/>
      <c r="I274" s="129"/>
      <c r="J274" s="129"/>
      <c r="K274" s="129"/>
      <c r="L274" s="129"/>
      <c r="M274" s="129"/>
      <c r="N274" s="129"/>
      <c r="O274" s="129"/>
      <c r="P274" s="129"/>
      <c r="Q274" s="129"/>
      <c r="R274" s="129"/>
    </row>
    <row r="275" spans="1:31" ht="199" customHeight="1">
      <c r="A275" s="129"/>
      <c r="B275" s="129"/>
      <c r="C275" s="129"/>
      <c r="D275" s="129"/>
      <c r="E275" s="129"/>
      <c r="F275" s="129"/>
      <c r="G275" s="129"/>
      <c r="H275" s="129"/>
      <c r="I275" s="129"/>
      <c r="J275" s="129"/>
      <c r="K275" s="129"/>
      <c r="L275" s="129"/>
      <c r="M275" s="129"/>
      <c r="N275" s="129"/>
      <c r="O275" s="129"/>
      <c r="P275" s="129"/>
      <c r="Q275" s="129"/>
      <c r="R275" s="129"/>
    </row>
    <row r="276" spans="1:31" ht="186.75" customHeight="1">
      <c r="A276" s="129"/>
      <c r="B276" s="135"/>
      <c r="C276" s="135"/>
      <c r="D276" s="135"/>
      <c r="E276" s="129"/>
      <c r="F276" s="129"/>
      <c r="G276" s="129"/>
      <c r="H276" s="129"/>
      <c r="I276" s="129"/>
      <c r="J276" s="129"/>
      <c r="K276" s="129"/>
      <c r="L276" s="129"/>
      <c r="M276" s="129"/>
      <c r="N276" s="129"/>
      <c r="O276" s="129"/>
      <c r="P276" s="129"/>
      <c r="Q276" s="129"/>
      <c r="R276" s="129"/>
    </row>
    <row r="277" spans="1:31" ht="304" customHeight="1">
      <c r="A277" s="129"/>
      <c r="B277" s="129"/>
      <c r="C277" s="129"/>
      <c r="D277" s="129"/>
      <c r="E277" s="129"/>
      <c r="F277" s="129"/>
      <c r="G277" s="129"/>
      <c r="H277" s="129"/>
      <c r="I277" s="129"/>
      <c r="J277" s="129"/>
      <c r="K277" s="129"/>
      <c r="L277" s="129"/>
      <c r="M277" s="129"/>
      <c r="N277" s="129"/>
      <c r="O277" s="129"/>
      <c r="P277" s="129"/>
      <c r="Q277" s="129"/>
      <c r="R277" s="129"/>
    </row>
    <row r="278" spans="1:31" ht="348.25" customHeight="1">
      <c r="A278" s="129"/>
      <c r="B278" s="129"/>
      <c r="C278" s="129"/>
      <c r="D278" s="129"/>
      <c r="E278" s="129"/>
      <c r="F278" s="129"/>
      <c r="G278" s="129"/>
      <c r="H278" s="129"/>
      <c r="I278" s="129"/>
      <c r="J278" s="129"/>
      <c r="K278" s="129"/>
      <c r="L278" s="129"/>
      <c r="M278" s="129"/>
      <c r="N278" s="129"/>
      <c r="O278" s="129"/>
      <c r="P278" s="129"/>
      <c r="Q278" s="129"/>
      <c r="R278" s="129"/>
    </row>
    <row r="279" spans="1:31" ht="149.25" customHeight="1">
      <c r="A279" s="129"/>
      <c r="B279" s="129"/>
      <c r="C279" s="129"/>
      <c r="D279" s="129"/>
      <c r="E279" s="129"/>
      <c r="F279" s="129"/>
      <c r="G279" s="129"/>
      <c r="H279" s="129"/>
      <c r="I279" s="129"/>
      <c r="J279" s="129"/>
      <c r="K279" s="129"/>
      <c r="L279" s="129"/>
      <c r="M279" s="129"/>
      <c r="N279" s="129"/>
      <c r="O279" s="129"/>
      <c r="P279" s="129"/>
      <c r="Q279" s="129"/>
      <c r="R279" s="129"/>
      <c r="S279" s="6"/>
      <c r="T279" s="6"/>
      <c r="U279" s="6"/>
      <c r="V279" s="6"/>
      <c r="W279" s="6"/>
      <c r="X279" s="6"/>
      <c r="Y279" s="6"/>
      <c r="Z279" s="6"/>
      <c r="AA279" s="6"/>
      <c r="AB279" s="6"/>
      <c r="AC279" s="9"/>
      <c r="AD279" s="9"/>
      <c r="AE279" s="9"/>
    </row>
    <row r="280" spans="1:31" ht="213.25" customHeight="1">
      <c r="A280" s="129"/>
      <c r="B280" s="137"/>
      <c r="C280" s="129"/>
      <c r="D280" s="129"/>
      <c r="E280" s="129"/>
      <c r="F280" s="129"/>
      <c r="G280" s="129"/>
      <c r="H280" s="129"/>
      <c r="I280" s="129"/>
      <c r="J280" s="154"/>
      <c r="K280" s="129"/>
      <c r="L280" s="129"/>
      <c r="M280" s="129"/>
      <c r="N280" s="129"/>
      <c r="O280" s="129"/>
      <c r="P280" s="129"/>
      <c r="Q280" s="129"/>
      <c r="R280" s="129"/>
      <c r="S280" s="6"/>
      <c r="T280" s="6"/>
      <c r="U280" s="6"/>
      <c r="V280" s="6"/>
      <c r="W280" s="6"/>
      <c r="X280" s="6"/>
      <c r="Y280" s="6"/>
      <c r="Z280" s="6"/>
      <c r="AA280" s="6"/>
      <c r="AB280" s="6"/>
      <c r="AC280" s="9"/>
      <c r="AD280" s="9"/>
      <c r="AE280" s="9"/>
    </row>
    <row r="281" spans="1:31" ht="149.25" customHeight="1">
      <c r="A281" s="129"/>
      <c r="B281" s="137"/>
      <c r="C281" s="129"/>
      <c r="D281" s="129"/>
      <c r="E281" s="129"/>
      <c r="F281" s="129"/>
      <c r="G281" s="129"/>
      <c r="H281" s="129"/>
      <c r="I281" s="129"/>
      <c r="J281" s="129"/>
      <c r="K281" s="129"/>
      <c r="L281" s="129"/>
      <c r="M281" s="129"/>
      <c r="N281" s="129"/>
      <c r="O281" s="129"/>
      <c r="P281" s="129"/>
      <c r="Q281" s="129"/>
      <c r="R281" s="129"/>
      <c r="S281" s="6"/>
      <c r="T281" s="6"/>
      <c r="U281" s="6"/>
      <c r="V281" s="6"/>
      <c r="W281" s="6"/>
      <c r="X281" s="6"/>
      <c r="Y281" s="6"/>
      <c r="Z281" s="6"/>
      <c r="AA281" s="6"/>
      <c r="AB281" s="6"/>
      <c r="AC281" s="9"/>
      <c r="AD281" s="9"/>
      <c r="AE281" s="9"/>
    </row>
    <row r="282" spans="1:31">
      <c r="A282" s="129"/>
      <c r="B282" s="129"/>
      <c r="C282" s="129"/>
      <c r="D282" s="129"/>
      <c r="E282" s="129"/>
      <c r="F282" s="129"/>
      <c r="G282" s="129"/>
      <c r="H282" s="129"/>
      <c r="I282" s="129"/>
      <c r="J282" s="129"/>
      <c r="K282" s="129"/>
      <c r="L282" s="129"/>
      <c r="M282" s="129"/>
      <c r="N282" s="129"/>
      <c r="O282" s="129"/>
      <c r="P282" s="129"/>
      <c r="Q282" s="129"/>
      <c r="R282" s="129"/>
    </row>
    <row r="283" spans="1:31">
      <c r="A283" s="129"/>
      <c r="B283" s="129"/>
      <c r="C283" s="129"/>
      <c r="D283" s="129"/>
      <c r="E283" s="129"/>
      <c r="F283" s="129"/>
      <c r="G283" s="129"/>
      <c r="H283" s="129"/>
      <c r="I283" s="129"/>
      <c r="J283" s="129"/>
      <c r="K283" s="129"/>
      <c r="L283" s="129"/>
      <c r="M283" s="129"/>
      <c r="N283" s="129"/>
      <c r="O283" s="129"/>
      <c r="P283" s="129"/>
      <c r="Q283" s="129"/>
      <c r="R283" s="129"/>
    </row>
    <row r="284" spans="1:31">
      <c r="A284" s="129"/>
      <c r="B284" s="129"/>
      <c r="C284" s="129"/>
      <c r="D284" s="129"/>
      <c r="E284" s="129"/>
      <c r="F284" s="129"/>
      <c r="G284" s="129"/>
      <c r="H284" s="129"/>
      <c r="I284" s="129"/>
      <c r="J284" s="129"/>
      <c r="K284" s="129"/>
      <c r="L284" s="129"/>
      <c r="M284" s="23"/>
      <c r="N284" s="129"/>
      <c r="O284" s="129"/>
      <c r="P284" s="129"/>
      <c r="Q284" s="129"/>
      <c r="R284" s="129"/>
    </row>
    <row r="285" spans="1:31">
      <c r="A285" s="129"/>
      <c r="B285" s="135"/>
      <c r="C285" s="135"/>
      <c r="D285" s="135"/>
      <c r="E285" s="129"/>
      <c r="F285" s="129"/>
      <c r="G285" s="129"/>
      <c r="H285" s="129"/>
      <c r="I285" s="129"/>
      <c r="J285" s="129"/>
      <c r="K285" s="129"/>
      <c r="L285" s="129"/>
      <c r="M285" s="129"/>
      <c r="N285" s="129"/>
      <c r="O285" s="129"/>
      <c r="P285" s="129"/>
      <c r="Q285" s="129"/>
      <c r="R285" s="129"/>
    </row>
    <row r="286" spans="1:31">
      <c r="A286" s="129"/>
      <c r="B286" s="135"/>
      <c r="C286" s="135"/>
      <c r="D286" s="129"/>
      <c r="E286" s="129"/>
      <c r="F286" s="129"/>
      <c r="G286" s="129"/>
      <c r="H286" s="129"/>
      <c r="I286" s="129"/>
      <c r="J286" s="129"/>
      <c r="K286" s="129"/>
      <c r="L286" s="129"/>
      <c r="M286" s="129"/>
      <c r="N286" s="129"/>
      <c r="O286" s="129"/>
      <c r="P286" s="129"/>
      <c r="Q286" s="129"/>
      <c r="R286" s="129"/>
    </row>
    <row r="287" spans="1:31">
      <c r="A287" s="129"/>
      <c r="B287" s="129"/>
      <c r="C287" s="129"/>
      <c r="D287" s="129"/>
      <c r="E287" s="129"/>
      <c r="F287" s="129"/>
      <c r="G287" s="129"/>
      <c r="H287" s="129"/>
      <c r="I287" s="129"/>
      <c r="J287" s="129"/>
      <c r="K287" s="129"/>
      <c r="L287" s="129"/>
      <c r="M287" s="129"/>
      <c r="N287" s="129"/>
      <c r="O287" s="129"/>
      <c r="P287" s="129"/>
      <c r="Q287" s="129"/>
      <c r="R287" s="129"/>
    </row>
    <row r="288" spans="1:31">
      <c r="A288" s="129"/>
      <c r="B288" s="134"/>
      <c r="C288" s="129"/>
      <c r="D288" s="129"/>
      <c r="E288" s="129"/>
      <c r="F288" s="129"/>
      <c r="G288" s="129"/>
      <c r="H288" s="129"/>
      <c r="I288" s="7"/>
      <c r="J288" s="129"/>
      <c r="K288" s="129"/>
      <c r="L288" s="129"/>
      <c r="M288" s="129"/>
      <c r="N288" s="129"/>
      <c r="O288" s="129"/>
      <c r="P288" s="129"/>
      <c r="Q288" s="129"/>
      <c r="R288" s="129"/>
    </row>
    <row r="289" spans="1:18">
      <c r="A289" s="129"/>
      <c r="B289" s="134"/>
      <c r="C289" s="129"/>
      <c r="D289" s="129"/>
      <c r="E289" s="129"/>
      <c r="F289" s="129"/>
      <c r="G289" s="129"/>
      <c r="H289" s="129"/>
      <c r="I289" s="129"/>
      <c r="J289" s="129"/>
      <c r="K289" s="129"/>
      <c r="L289" s="129"/>
      <c r="M289" s="129"/>
      <c r="N289" s="129"/>
      <c r="O289" s="129"/>
      <c r="P289" s="129"/>
      <c r="Q289" s="129"/>
      <c r="R289" s="129"/>
    </row>
    <row r="290" spans="1:18">
      <c r="A290" s="129"/>
      <c r="B290" s="129"/>
      <c r="C290" s="129"/>
      <c r="D290" s="129"/>
      <c r="E290" s="135"/>
      <c r="F290" s="129"/>
      <c r="G290" s="129"/>
      <c r="H290" s="129"/>
      <c r="I290" s="129"/>
      <c r="J290" s="129"/>
      <c r="K290" s="129"/>
      <c r="L290" s="129"/>
      <c r="M290" s="129"/>
      <c r="N290" s="129"/>
      <c r="O290" s="129"/>
      <c r="P290" s="129"/>
      <c r="Q290" s="129"/>
      <c r="R290" s="129"/>
    </row>
    <row r="291" spans="1:18">
      <c r="A291" s="129"/>
      <c r="B291" s="129"/>
      <c r="C291" s="129"/>
      <c r="D291" s="129"/>
      <c r="E291" s="129"/>
      <c r="F291" s="139"/>
      <c r="G291" s="129"/>
      <c r="H291" s="129"/>
      <c r="I291" s="129"/>
      <c r="J291" s="129"/>
      <c r="K291" s="129"/>
      <c r="L291" s="129"/>
      <c r="M291" s="129"/>
      <c r="N291" s="129"/>
      <c r="O291" s="129"/>
      <c r="P291" s="129"/>
      <c r="Q291" s="129"/>
      <c r="R291" s="129"/>
    </row>
    <row r="292" spans="1:18">
      <c r="A292" s="129"/>
      <c r="B292" s="129"/>
      <c r="C292" s="129"/>
      <c r="D292" s="129"/>
      <c r="E292" s="129"/>
      <c r="F292" s="129"/>
      <c r="G292" s="129"/>
      <c r="H292" s="129"/>
      <c r="I292" s="129"/>
      <c r="J292" s="129"/>
      <c r="K292" s="129"/>
      <c r="L292" s="129"/>
      <c r="M292" s="129"/>
      <c r="N292" s="129"/>
      <c r="O292" s="129"/>
      <c r="P292" s="129"/>
      <c r="Q292" s="129"/>
      <c r="R292" s="129"/>
    </row>
    <row r="293" spans="1:18">
      <c r="A293" s="129"/>
      <c r="B293" s="129"/>
      <c r="C293" s="129"/>
      <c r="D293" s="129"/>
      <c r="E293" s="129"/>
      <c r="F293" s="129"/>
      <c r="G293" s="129"/>
      <c r="H293" s="129"/>
      <c r="I293" s="129"/>
      <c r="J293" s="129"/>
      <c r="K293" s="129"/>
      <c r="L293" s="129"/>
      <c r="M293" s="129"/>
      <c r="N293" s="129"/>
      <c r="O293" s="129"/>
      <c r="P293" s="129"/>
      <c r="Q293" s="129"/>
      <c r="R293" s="129"/>
    </row>
    <row r="294" spans="1:18">
      <c r="A294" s="129"/>
      <c r="B294" s="129"/>
      <c r="C294" s="129"/>
      <c r="D294" s="129"/>
      <c r="E294" s="129"/>
      <c r="F294" s="129"/>
      <c r="G294" s="129"/>
      <c r="H294" s="129"/>
      <c r="I294" s="129"/>
      <c r="J294" s="129"/>
      <c r="K294" s="129"/>
      <c r="L294" s="129"/>
      <c r="M294" s="129"/>
      <c r="N294" s="129"/>
      <c r="O294" s="129"/>
      <c r="P294" s="129"/>
      <c r="Q294" s="129"/>
      <c r="R294" s="129"/>
    </row>
    <row r="295" spans="1:18">
      <c r="A295" s="129"/>
      <c r="B295" s="129"/>
      <c r="C295" s="129"/>
      <c r="D295" s="129"/>
      <c r="E295" s="129"/>
      <c r="F295" s="129"/>
      <c r="G295" s="129"/>
      <c r="H295" s="129"/>
      <c r="I295" s="129"/>
      <c r="J295" s="129"/>
      <c r="K295" s="129"/>
      <c r="L295" s="129"/>
      <c r="M295" s="129"/>
      <c r="N295" s="129"/>
      <c r="O295" s="129"/>
      <c r="P295" s="129"/>
      <c r="Q295" s="129"/>
      <c r="R295" s="129"/>
    </row>
    <row r="296" spans="1:18">
      <c r="A296" s="129"/>
      <c r="B296" s="138"/>
      <c r="C296" s="135"/>
      <c r="D296" s="129"/>
      <c r="E296" s="129"/>
      <c r="F296" s="129"/>
      <c r="G296" s="129"/>
      <c r="H296" s="129"/>
      <c r="I296" s="129"/>
      <c r="J296" s="129"/>
      <c r="K296" s="129"/>
      <c r="L296" s="129"/>
      <c r="M296" s="129"/>
      <c r="N296" s="129"/>
      <c r="O296" s="129"/>
      <c r="P296" s="129"/>
      <c r="Q296" s="129"/>
      <c r="R296" s="129"/>
    </row>
    <row r="297" spans="1:18">
      <c r="A297" s="129"/>
      <c r="B297" s="129"/>
      <c r="C297" s="129"/>
      <c r="D297" s="129"/>
      <c r="E297" s="129"/>
      <c r="F297" s="129"/>
      <c r="G297" s="129"/>
      <c r="H297" s="129"/>
      <c r="I297" s="129"/>
      <c r="J297" s="129"/>
      <c r="K297" s="129"/>
      <c r="L297" s="129"/>
      <c r="M297" s="129"/>
      <c r="N297" s="129"/>
      <c r="O297" s="129"/>
      <c r="P297" s="129"/>
      <c r="Q297" s="129"/>
      <c r="R297" s="129"/>
    </row>
    <row r="298" spans="1:18">
      <c r="A298" s="129"/>
      <c r="B298" s="129"/>
      <c r="C298" s="129"/>
      <c r="D298" s="147"/>
      <c r="E298" s="129"/>
      <c r="F298" s="129"/>
      <c r="G298" s="129"/>
      <c r="H298" s="129"/>
      <c r="I298" s="140"/>
      <c r="J298" s="154"/>
      <c r="K298" s="154"/>
      <c r="L298" s="129"/>
      <c r="M298" s="129"/>
      <c r="N298" s="129"/>
      <c r="O298" s="129"/>
      <c r="P298" s="129"/>
      <c r="Q298" s="129"/>
      <c r="R298" s="129"/>
    </row>
    <row r="299" spans="1:18">
      <c r="A299" s="129"/>
      <c r="B299" s="134"/>
      <c r="C299" s="181"/>
      <c r="D299" s="22"/>
      <c r="E299" s="8"/>
      <c r="F299" s="8"/>
      <c r="G299" s="129"/>
      <c r="H299" s="129"/>
      <c r="I299" s="16"/>
      <c r="J299" s="129"/>
      <c r="K299" s="154"/>
      <c r="L299" s="129"/>
      <c r="M299" s="129"/>
      <c r="N299" s="129"/>
      <c r="O299" s="129"/>
      <c r="P299" s="129"/>
      <c r="Q299" s="129"/>
      <c r="R299" s="129"/>
    </row>
    <row r="300" spans="1:18">
      <c r="A300" s="129"/>
      <c r="B300" s="137"/>
      <c r="C300" s="151"/>
      <c r="D300" s="182"/>
      <c r="E300" s="7"/>
      <c r="F300" s="8"/>
      <c r="G300" s="129"/>
      <c r="H300" s="151"/>
      <c r="I300" s="16"/>
      <c r="J300" s="129"/>
      <c r="K300" s="129"/>
      <c r="L300" s="129"/>
      <c r="M300" s="129"/>
      <c r="N300" s="129"/>
      <c r="O300" s="129"/>
      <c r="P300" s="129"/>
      <c r="Q300" s="129"/>
      <c r="R300" s="129"/>
    </row>
    <row r="301" spans="1:18">
      <c r="A301" s="129"/>
      <c r="B301" s="137"/>
      <c r="C301" s="151"/>
      <c r="D301" s="183"/>
      <c r="E301" s="7"/>
      <c r="F301" s="13"/>
      <c r="G301" s="159"/>
      <c r="H301" s="129"/>
      <c r="I301" s="13"/>
      <c r="J301" s="129"/>
      <c r="K301" s="140"/>
      <c r="L301" s="129"/>
      <c r="M301" s="129"/>
      <c r="N301" s="129"/>
      <c r="O301" s="129"/>
      <c r="P301" s="129"/>
      <c r="Q301" s="129"/>
      <c r="R301" s="129"/>
    </row>
    <row r="302" spans="1:18">
      <c r="A302" s="129"/>
      <c r="B302" s="129"/>
      <c r="C302" s="129"/>
      <c r="D302" s="129"/>
      <c r="E302" s="129"/>
      <c r="F302" s="129"/>
      <c r="G302" s="129"/>
      <c r="H302" s="129"/>
      <c r="I302" s="129"/>
      <c r="J302" s="129"/>
      <c r="K302" s="129"/>
      <c r="L302" s="129"/>
      <c r="M302" s="129"/>
      <c r="N302" s="129"/>
      <c r="O302" s="129"/>
      <c r="P302" s="129"/>
      <c r="Q302" s="129"/>
      <c r="R302" s="129"/>
    </row>
    <row r="303" spans="1:18">
      <c r="A303" s="129"/>
      <c r="B303" s="129"/>
      <c r="C303" s="129"/>
      <c r="D303" s="129"/>
      <c r="E303" s="129"/>
      <c r="F303" s="129"/>
      <c r="G303" s="129"/>
      <c r="H303" s="129"/>
      <c r="I303" s="129"/>
      <c r="J303" s="129"/>
      <c r="K303" s="129"/>
      <c r="L303" s="129"/>
      <c r="M303" s="129"/>
      <c r="N303" s="129"/>
      <c r="O303" s="129"/>
      <c r="P303" s="129"/>
      <c r="Q303" s="129"/>
      <c r="R303" s="129"/>
    </row>
    <row r="304" spans="1:18">
      <c r="A304" s="129"/>
      <c r="B304" s="33"/>
      <c r="C304" s="184"/>
      <c r="D304" s="185"/>
      <c r="E304" s="156"/>
      <c r="F304" s="15"/>
      <c r="G304" s="33"/>
      <c r="H304" s="33"/>
      <c r="I304" s="186"/>
      <c r="J304" s="33"/>
      <c r="K304" s="186"/>
      <c r="L304" s="141"/>
      <c r="M304" s="33"/>
      <c r="N304" s="33"/>
      <c r="O304" s="33"/>
      <c r="P304" s="33"/>
      <c r="Q304" s="33"/>
      <c r="R304" s="33"/>
    </row>
    <row r="305" spans="1:18">
      <c r="A305" s="129"/>
      <c r="B305" s="33"/>
      <c r="C305" s="186"/>
      <c r="D305" s="186"/>
      <c r="E305" s="156"/>
      <c r="F305" s="15"/>
      <c r="G305" s="33"/>
      <c r="H305" s="33"/>
      <c r="I305" s="33"/>
      <c r="J305" s="33"/>
      <c r="K305" s="33"/>
      <c r="L305" s="141"/>
      <c r="M305" s="33"/>
      <c r="N305" s="33"/>
      <c r="O305" s="33"/>
      <c r="P305" s="33"/>
      <c r="Q305" s="33"/>
      <c r="R305" s="33"/>
    </row>
    <row r="306" spans="1:18">
      <c r="A306" s="129"/>
      <c r="B306" s="33"/>
      <c r="C306" s="186"/>
      <c r="D306" s="186"/>
      <c r="E306" s="156"/>
      <c r="F306" s="15"/>
      <c r="G306" s="33"/>
      <c r="H306" s="33"/>
      <c r="I306" s="33"/>
      <c r="J306" s="33"/>
      <c r="K306" s="186"/>
    </row>
    <row r="307" spans="1:18">
      <c r="A307" s="129"/>
      <c r="B307" s="33"/>
      <c r="C307" s="186"/>
      <c r="D307" s="186"/>
      <c r="E307" s="156"/>
      <c r="F307" s="15"/>
      <c r="G307" s="186"/>
      <c r="H307" s="186"/>
      <c r="I307" s="33"/>
    </row>
    <row r="308" spans="1:18">
      <c r="A308" s="129"/>
      <c r="C308" s="191"/>
      <c r="E308" s="156"/>
      <c r="F308" s="15"/>
      <c r="I308" s="32"/>
    </row>
    <row r="309" spans="1:18">
      <c r="A309" s="129"/>
      <c r="E309" s="129"/>
      <c r="F309" s="15"/>
      <c r="I309" s="32"/>
    </row>
    <row r="310" spans="1:18">
      <c r="A310" s="129"/>
      <c r="E310" s="156"/>
      <c r="F310" s="15"/>
    </row>
    <row r="311" spans="1:18">
      <c r="A311" s="129"/>
      <c r="E311" s="129"/>
      <c r="F311" s="32"/>
      <c r="I311" s="108"/>
    </row>
    <row r="312" spans="1:18">
      <c r="A312" s="129"/>
      <c r="E312" s="156"/>
      <c r="F312" s="15"/>
    </row>
    <row r="313" spans="1:18">
      <c r="A313" s="129"/>
      <c r="E313" s="129"/>
      <c r="F313" s="15"/>
      <c r="I313" s="32"/>
    </row>
    <row r="314" spans="1:18">
      <c r="A314" s="129"/>
      <c r="I314" s="32"/>
    </row>
    <row r="315" spans="1:18">
      <c r="A315" s="129"/>
    </row>
    <row r="316" spans="1:18">
      <c r="A316" s="129"/>
    </row>
    <row r="317" spans="1:18">
      <c r="A317" s="129"/>
      <c r="I317" s="32"/>
    </row>
    <row r="318" spans="1:18">
      <c r="A318" s="129"/>
      <c r="I318" s="32"/>
    </row>
    <row r="319" spans="1:18">
      <c r="A319" s="129"/>
    </row>
    <row r="320" spans="1:18">
      <c r="A320" s="129"/>
    </row>
    <row r="321" spans="1:31">
      <c r="A321" s="129"/>
      <c r="F321" s="32"/>
    </row>
    <row r="322" spans="1:31">
      <c r="A322" s="129"/>
      <c r="I322" s="32"/>
    </row>
    <row r="323" spans="1:31">
      <c r="A323" s="129"/>
    </row>
    <row r="324" spans="1:31">
      <c r="A324" s="129"/>
      <c r="I324" s="32"/>
    </row>
    <row r="325" spans="1:31">
      <c r="A325" s="129"/>
      <c r="B325" s="33"/>
      <c r="C325" s="186"/>
      <c r="D325" s="33"/>
      <c r="E325" s="156"/>
      <c r="F325" s="15"/>
      <c r="G325" s="33"/>
      <c r="H325" s="33"/>
      <c r="I325" s="194"/>
      <c r="J325" s="33"/>
      <c r="K325" s="33"/>
      <c r="L325" s="141"/>
      <c r="M325" s="33"/>
      <c r="N325" s="33"/>
      <c r="O325" s="33"/>
      <c r="P325" s="33"/>
      <c r="Q325" s="33"/>
      <c r="R325" s="33"/>
      <c r="S325" s="33"/>
      <c r="T325" s="33"/>
      <c r="U325" s="33"/>
      <c r="V325" s="33"/>
      <c r="W325" s="33"/>
      <c r="X325" s="33"/>
      <c r="Y325" s="33"/>
      <c r="Z325" s="33"/>
      <c r="AA325" s="33"/>
      <c r="AB325" s="33"/>
      <c r="AC325" s="33"/>
      <c r="AD325" s="33"/>
      <c r="AE325" s="33"/>
    </row>
    <row r="326" spans="1:31">
      <c r="A326" s="129"/>
      <c r="B326" s="33"/>
      <c r="C326" s="186"/>
      <c r="D326" s="186"/>
      <c r="E326" s="156"/>
      <c r="F326" s="15"/>
      <c r="G326" s="33"/>
      <c r="H326" s="33"/>
      <c r="I326" s="194"/>
      <c r="J326" s="33"/>
      <c r="K326" s="33"/>
      <c r="L326" s="141"/>
      <c r="M326" s="33"/>
      <c r="N326" s="33"/>
      <c r="O326" s="33"/>
      <c r="P326" s="33"/>
      <c r="Q326" s="33"/>
      <c r="R326" s="33"/>
      <c r="S326" s="33"/>
      <c r="T326" s="33"/>
      <c r="U326" s="33"/>
      <c r="V326" s="33"/>
      <c r="W326" s="33"/>
      <c r="X326" s="33"/>
      <c r="Y326" s="33"/>
      <c r="Z326" s="33"/>
      <c r="AA326" s="33"/>
      <c r="AB326" s="33"/>
      <c r="AC326" s="33"/>
      <c r="AD326" s="33"/>
      <c r="AE326" s="33"/>
    </row>
    <row r="327" spans="1:31">
      <c r="A327" s="129"/>
      <c r="B327" s="33"/>
      <c r="C327" s="186"/>
      <c r="D327" s="186"/>
      <c r="E327" s="156"/>
      <c r="F327" s="15"/>
      <c r="G327" s="33"/>
      <c r="H327" s="33"/>
      <c r="I327" s="194"/>
      <c r="J327" s="33"/>
      <c r="K327" s="129"/>
      <c r="L327" s="141"/>
      <c r="M327" s="33"/>
      <c r="N327" s="33"/>
      <c r="O327" s="33"/>
      <c r="P327" s="33"/>
      <c r="Q327" s="33"/>
      <c r="R327" s="33"/>
      <c r="S327" s="33"/>
      <c r="T327" s="33"/>
      <c r="U327" s="33"/>
      <c r="V327" s="33"/>
      <c r="W327" s="33"/>
      <c r="X327" s="33"/>
      <c r="Y327" s="33"/>
      <c r="Z327" s="33"/>
      <c r="AA327" s="33"/>
      <c r="AB327" s="33"/>
      <c r="AC327" s="33"/>
      <c r="AD327" s="33"/>
      <c r="AE327" s="33"/>
    </row>
    <row r="328" spans="1:31">
      <c r="A328" s="129"/>
      <c r="B328" s="33"/>
      <c r="C328" s="33"/>
      <c r="D328" s="186"/>
      <c r="E328" s="156"/>
      <c r="F328" s="15"/>
      <c r="G328" s="33"/>
      <c r="H328" s="33"/>
      <c r="I328" s="194"/>
      <c r="J328" s="33"/>
      <c r="K328" s="129"/>
    </row>
    <row r="329" spans="1:31">
      <c r="F329" s="32"/>
    </row>
  </sheetData>
  <phoneticPr fontId="20" type="noConversion"/>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174000-72D1-B945-B802-1B1F1ABF8A23}">
  <sheetPr codeName="Sheet5"/>
  <dimension ref="A1:E21"/>
  <sheetViews>
    <sheetView zoomScale="171" workbookViewId="0">
      <selection activeCell="A12" sqref="A12:XFD12"/>
    </sheetView>
  </sheetViews>
  <sheetFormatPr baseColWidth="10" defaultRowHeight="16"/>
  <cols>
    <col min="1" max="1" width="30.1640625" customWidth="1"/>
    <col min="2" max="2" width="24.83203125" customWidth="1"/>
  </cols>
  <sheetData>
    <row r="1" spans="1:5">
      <c r="A1" t="s">
        <v>494</v>
      </c>
      <c r="B1" t="s">
        <v>479</v>
      </c>
      <c r="C1" t="s">
        <v>490</v>
      </c>
      <c r="D1" t="s">
        <v>491</v>
      </c>
      <c r="E1" t="s">
        <v>492</v>
      </c>
    </row>
    <row r="2" spans="1:5">
      <c r="A2" s="164" t="s">
        <v>459</v>
      </c>
      <c r="B2" s="164" t="s">
        <v>480</v>
      </c>
    </row>
    <row r="3" spans="1:5">
      <c r="A3" s="164" t="s">
        <v>461</v>
      </c>
      <c r="B3" s="164" t="s">
        <v>481</v>
      </c>
      <c r="E3" s="164"/>
    </row>
    <row r="4" spans="1:5">
      <c r="A4" s="164" t="s">
        <v>463</v>
      </c>
      <c r="B4" s="164" t="s">
        <v>482</v>
      </c>
      <c r="E4" s="164"/>
    </row>
    <row r="5" spans="1:5">
      <c r="A5" s="164" t="s">
        <v>465</v>
      </c>
      <c r="B5" s="164" t="s">
        <v>483</v>
      </c>
    </row>
    <row r="6" spans="1:5">
      <c r="A6" s="164" t="s">
        <v>467</v>
      </c>
      <c r="B6" s="164" t="s">
        <v>484</v>
      </c>
    </row>
    <row r="7" spans="1:5">
      <c r="A7" s="164" t="s">
        <v>469</v>
      </c>
      <c r="B7" s="164" t="s">
        <v>485</v>
      </c>
    </row>
    <row r="8" spans="1:5">
      <c r="A8" s="164" t="s">
        <v>471</v>
      </c>
      <c r="B8" s="164" t="s">
        <v>486</v>
      </c>
    </row>
    <row r="9" spans="1:5">
      <c r="A9" s="164" t="s">
        <v>473</v>
      </c>
      <c r="B9" s="164" t="s">
        <v>487</v>
      </c>
    </row>
    <row r="10" spans="1:5">
      <c r="A10" s="164" t="s">
        <v>475</v>
      </c>
      <c r="B10" s="164" t="s">
        <v>488</v>
      </c>
    </row>
    <row r="11" spans="1:5">
      <c r="A11" s="164" t="s">
        <v>477</v>
      </c>
      <c r="B11" s="164" t="s">
        <v>489</v>
      </c>
    </row>
    <row r="12" spans="1:5">
      <c r="A12" s="164" t="s">
        <v>460</v>
      </c>
    </row>
    <row r="13" spans="1:5">
      <c r="A13" s="164" t="s">
        <v>462</v>
      </c>
    </row>
    <row r="14" spans="1:5">
      <c r="A14" s="164" t="s">
        <v>464</v>
      </c>
    </row>
    <row r="15" spans="1:5">
      <c r="A15" s="164" t="s">
        <v>466</v>
      </c>
    </row>
    <row r="16" spans="1:5">
      <c r="A16" s="164" t="s">
        <v>468</v>
      </c>
    </row>
    <row r="17" spans="1:1">
      <c r="A17" s="164" t="s">
        <v>470</v>
      </c>
    </row>
    <row r="18" spans="1:1">
      <c r="A18" s="164" t="s">
        <v>472</v>
      </c>
    </row>
    <row r="19" spans="1:1">
      <c r="A19" s="164" t="s">
        <v>474</v>
      </c>
    </row>
    <row r="20" spans="1:1">
      <c r="A20" s="164" t="s">
        <v>476</v>
      </c>
    </row>
    <row r="21" spans="1:1">
      <c r="A21" s="164" t="s">
        <v>478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6</vt:i4>
      </vt:variant>
      <vt:variant>
        <vt:lpstr>Named Ranges</vt:lpstr>
      </vt:variant>
      <vt:variant>
        <vt:i4>3</vt:i4>
      </vt:variant>
    </vt:vector>
  </HeadingPairs>
  <TitlesOfParts>
    <vt:vector size="9" baseType="lpstr">
      <vt:lpstr>Results</vt:lpstr>
      <vt:lpstr>Schedule</vt:lpstr>
      <vt:lpstr>Sheet1</vt:lpstr>
      <vt:lpstr>Tracker</vt:lpstr>
      <vt:lpstr>database</vt:lpstr>
      <vt:lpstr>ringfence</vt:lpstr>
      <vt:lpstr>CompanyName</vt:lpstr>
      <vt:lpstr>Page1</vt:lpstr>
      <vt:lpstr>RingFence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Terry, Chan Cheuk Hang 陳卓恆</cp:lastModifiedBy>
  <dcterms:created xsi:type="dcterms:W3CDTF">2026-04-03T12:24:17Z</dcterms:created>
  <dcterms:modified xsi:type="dcterms:W3CDTF">2026-06-16T06:26:04Z</dcterms:modified>
</cp:coreProperties>
</file>