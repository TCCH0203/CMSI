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ThisWorkbook"/>
  <mc:AlternateContent xmlns:mc="http://schemas.openxmlformats.org/markup-compatibility/2006">
    <mc:Choice Requires="x15">
      <x15ac:absPath xmlns:x15ac="http://schemas.microsoft.com/office/spreadsheetml/2010/11/ac" url="/Users/chancheukhang/Downloads/CMSI/ECM/Schedule_Tracker/"/>
    </mc:Choice>
  </mc:AlternateContent>
  <xr:revisionPtr revIDLastSave="0" documentId="13_ncr:1_{15C114B4-C075-7449-88C9-5A0A14216CC7}" xr6:coauthVersionLast="47" xr6:coauthVersionMax="47" xr10:uidLastSave="{00000000-0000-0000-0000-000000000000}"/>
  <bookViews>
    <workbookView xWindow="0" yWindow="600" windowWidth="28800" windowHeight="16400" activeTab="1" xr2:uid="{00000000-000D-0000-FFFF-FFFF00000000}"/>
  </bookViews>
  <sheets>
    <sheet name="Results" sheetId="1" r:id="rId1"/>
    <sheet name="Schedule" sheetId="2" r:id="rId2"/>
    <sheet name="Sheet1" sheetId="6" r:id="rId3"/>
    <sheet name="Tracker" sheetId="4" r:id="rId4"/>
    <sheet name="database" sheetId="3" r:id="rId5"/>
    <sheet name="ringfence" sheetId="5" r:id="rId6"/>
  </sheets>
  <functionGroups builtInGroupCount="19"/>
  <definedNames>
    <definedName name="_xlnm._FilterDatabase" localSheetId="3" hidden="1">Tracker!$A$2:$P$2</definedName>
    <definedName name="_xleta.COUNTIF" hidden="1" xlm="1">#NAME?</definedName>
    <definedName name="CompanyName">CompanyName1[#All]</definedName>
    <definedName name="Page1">Results!$A$1:$E$2</definedName>
    <definedName name="RingFence">ringfence!$A$1:$I$100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3" i="2" l="1"/>
  <c r="F15" i="2" a="1"/>
  <c r="F15" i="2" s="1"/>
  <c r="F26" i="2" a="1"/>
  <c r="F26" i="2" s="1"/>
  <c r="I26" i="2" s="1"/>
  <c r="CY2" i="2" l="1"/>
  <c r="CR2" i="2"/>
  <c r="CM2" i="2"/>
  <c r="CH2" i="2"/>
  <c r="CC2" i="2"/>
  <c r="BS2" i="2"/>
  <c r="BX2" i="2"/>
  <c r="BB2" i="2"/>
  <c r="AW2" i="2"/>
  <c r="AM2" i="2"/>
  <c r="AR2" i="2"/>
  <c r="R47" i="2"/>
  <c r="Q47" i="2"/>
  <c r="P47" i="2"/>
  <c r="O47" i="2"/>
  <c r="N47" i="2"/>
  <c r="R36" i="2"/>
  <c r="Q36" i="2"/>
  <c r="P36" i="2"/>
  <c r="O36" i="2"/>
  <c r="N36" i="2"/>
  <c r="R25" i="2"/>
  <c r="Q25" i="2"/>
  <c r="P25" i="2"/>
  <c r="O25" i="2"/>
  <c r="N25" i="2"/>
  <c r="O14" i="2"/>
  <c r="P14" i="2"/>
  <c r="Q14" i="2"/>
  <c r="R14" i="2"/>
  <c r="N14" i="2"/>
  <c r="F37" i="2" a="1"/>
  <c r="F37" i="2" s="1"/>
  <c r="Q37" i="2" l="1"/>
  <c r="I37" i="2"/>
  <c r="N37" i="2"/>
  <c r="O37" i="2"/>
  <c r="P37" i="2"/>
  <c r="R37" i="2"/>
  <c r="F49" i="2" l="1" a="1"/>
  <c r="F49" i="2" s="1"/>
  <c r="I49" i="2" s="1"/>
  <c r="DH2" i="2" s="1"/>
  <c r="F18" i="2" a="1"/>
  <c r="A2" i="2"/>
  <c r="F53" i="2" a="1"/>
  <c r="F52" i="2" a="1"/>
  <c r="F51" i="2" a="1"/>
  <c r="F50" i="2" a="1"/>
  <c r="F48" i="2" a="1"/>
  <c r="F42" i="2" a="1"/>
  <c r="F42" i="2" s="1"/>
  <c r="I42" i="2" s="1"/>
  <c r="CV2" i="2" s="1"/>
  <c r="F41" i="2" a="1"/>
  <c r="F41" i="2" s="1"/>
  <c r="I41" i="2" s="1"/>
  <c r="CQ2" i="2" s="1"/>
  <c r="F40" i="2" a="1"/>
  <c r="F39" i="2" a="1"/>
  <c r="F38" i="2" a="1"/>
  <c r="F31" i="2" a="1"/>
  <c r="F30" i="2" a="1"/>
  <c r="F29" i="2" a="1"/>
  <c r="F28" i="2" a="1"/>
  <c r="F27" i="2" a="1"/>
  <c r="F16" i="2" a="1"/>
  <c r="F17" i="2" a="1"/>
  <c r="F19" i="2" a="1"/>
  <c r="F20" i="2" a="1"/>
  <c r="DY2" i="2"/>
  <c r="CD2" i="2"/>
  <c r="BY2" i="2"/>
  <c r="BT2" i="2"/>
  <c r="BM2" i="2"/>
  <c r="BH2" i="2"/>
  <c r="S53" i="2" a="1"/>
  <c r="S53" i="2" s="1"/>
  <c r="IR2" i="2" s="1"/>
  <c r="S52" i="2" a="1"/>
  <c r="S52" i="2" s="1"/>
  <c r="IQ2" i="2" s="1"/>
  <c r="S51" i="2" a="1"/>
  <c r="S51" i="2" s="1"/>
  <c r="IP2" i="2" s="1"/>
  <c r="S50" i="2" a="1"/>
  <c r="S50" i="2" s="1"/>
  <c r="IO2" i="2" s="1"/>
  <c r="S49" i="2" a="1"/>
  <c r="S49" i="2" s="1"/>
  <c r="IN2" i="2" s="1"/>
  <c r="S48" i="2" a="1"/>
  <c r="S48" i="2" s="1"/>
  <c r="IM2" i="2" s="1"/>
  <c r="S42" i="2" a="1"/>
  <c r="S42" i="2" s="1"/>
  <c r="IL2" i="2" s="1"/>
  <c r="S41" i="2" a="1"/>
  <c r="S41" i="2" s="1"/>
  <c r="IK2" i="2" s="1"/>
  <c r="S40" i="2" a="1"/>
  <c r="S40" i="2" s="1"/>
  <c r="IJ2" i="2" s="1"/>
  <c r="S39" i="2" a="1"/>
  <c r="S39" i="2" s="1"/>
  <c r="II2" i="2" s="1"/>
  <c r="S38" i="2" a="1"/>
  <c r="S38" i="2" s="1"/>
  <c r="IH2" i="2" s="1"/>
  <c r="S37" i="2" a="1"/>
  <c r="S37" i="2" s="1"/>
  <c r="IG2" i="2" s="1"/>
  <c r="S31" i="2" a="1"/>
  <c r="S31" i="2" s="1"/>
  <c r="IF2" i="2" s="1"/>
  <c r="S30" i="2" a="1"/>
  <c r="S30" i="2" s="1"/>
  <c r="IE2" i="2" s="1"/>
  <c r="S29" i="2" a="1"/>
  <c r="S29" i="2" s="1"/>
  <c r="ID2" i="2" s="1"/>
  <c r="S28" i="2" a="1"/>
  <c r="S28" i="2" s="1"/>
  <c r="IC2" i="2" s="1"/>
  <c r="S27" i="2" a="1"/>
  <c r="S27" i="2" s="1"/>
  <c r="IB2" i="2" s="1"/>
  <c r="S26" i="2" a="1"/>
  <c r="S26" i="2" s="1"/>
  <c r="IA2" i="2" s="1"/>
  <c r="S16" i="2" a="1"/>
  <c r="S16" i="2" s="1"/>
  <c r="HV2" i="2" s="1"/>
  <c r="S17" i="2" a="1"/>
  <c r="S17" i="2" s="1"/>
  <c r="HW2" i="2" s="1"/>
  <c r="S18" i="2" a="1"/>
  <c r="S18" i="2" s="1"/>
  <c r="S19" i="2" a="1"/>
  <c r="S19" i="2" s="1"/>
  <c r="S20" i="2" a="1"/>
  <c r="S20" i="2" s="1"/>
  <c r="HZ2" i="2" s="1"/>
  <c r="S15" i="2" a="1"/>
  <c r="S15" i="2" s="1"/>
  <c r="HU2" i="2" s="1"/>
  <c r="H2" i="2"/>
  <c r="E2" i="2"/>
  <c r="CW2" i="2"/>
  <c r="AB2" i="2"/>
  <c r="AA2" i="2"/>
  <c r="AK2" i="2"/>
  <c r="BQ2" i="2"/>
  <c r="AF2" i="2"/>
  <c r="DX2" i="2"/>
  <c r="DT2" i="2"/>
  <c r="DS2" i="2"/>
  <c r="DO2" i="2"/>
  <c r="DN2" i="2"/>
  <c r="DJ2" i="2"/>
  <c r="DI2" i="2"/>
  <c r="DE2" i="2"/>
  <c r="DD2" i="2"/>
  <c r="CZ2" i="2"/>
  <c r="CX2" i="2"/>
  <c r="CS2" i="2"/>
  <c r="CN2" i="2"/>
  <c r="CI2" i="2"/>
  <c r="BW2" i="2"/>
  <c r="BR2" i="2"/>
  <c r="BL2" i="2"/>
  <c r="BG2" i="2"/>
  <c r="BC2" i="2"/>
  <c r="AX2" i="2"/>
  <c r="AS2" i="2"/>
  <c r="AQ2" i="2"/>
  <c r="AN2" i="2"/>
  <c r="AL2" i="2"/>
  <c r="AG2" i="2"/>
  <c r="W2" i="2"/>
  <c r="V2" i="2"/>
  <c r="R2" i="2"/>
  <c r="Q2" i="2"/>
  <c r="M2" i="2"/>
  <c r="L2" i="2"/>
  <c r="G2" i="2"/>
  <c r="F2" i="2"/>
  <c r="D2" i="2"/>
  <c r="C2" i="2"/>
  <c r="B2" i="2"/>
  <c r="N15" i="2" l="1"/>
  <c r="I15" i="2"/>
  <c r="K2" i="2" s="1"/>
  <c r="H15" i="2"/>
  <c r="H41" i="2"/>
  <c r="CP2" i="2" s="1"/>
  <c r="O41" i="2"/>
  <c r="N41" i="2"/>
  <c r="R41" i="2"/>
  <c r="P41" i="2"/>
  <c r="Q41" i="2"/>
  <c r="P49" i="2"/>
  <c r="Q49" i="2"/>
  <c r="O49" i="2"/>
  <c r="N49" i="2"/>
  <c r="R49" i="2"/>
  <c r="P15" i="2"/>
  <c r="Q15" i="2"/>
  <c r="R15" i="2"/>
  <c r="O15" i="2"/>
  <c r="H42" i="2"/>
  <c r="CU2" i="2" s="1"/>
  <c r="Q42" i="2"/>
  <c r="R42" i="2"/>
  <c r="O42" i="2"/>
  <c r="P42" i="2"/>
  <c r="N42" i="2"/>
  <c r="T41" i="2"/>
  <c r="T42" i="2"/>
  <c r="T49" i="2"/>
  <c r="T15" i="2"/>
  <c r="I2" i="2"/>
  <c r="F40" i="2"/>
  <c r="I40" i="2" s="1"/>
  <c r="CL2" i="2" s="1"/>
  <c r="F38" i="2"/>
  <c r="I38" i="2" s="1"/>
  <c r="CB2" i="2" s="1"/>
  <c r="F39" i="2"/>
  <c r="I39" i="2" s="1"/>
  <c r="CG2" i="2" s="1"/>
  <c r="F48" i="2"/>
  <c r="I48" i="2" s="1"/>
  <c r="DC2" i="2" s="1"/>
  <c r="F53" i="2"/>
  <c r="I53" i="2" s="1"/>
  <c r="EB2" i="2" s="1"/>
  <c r="F52" i="2"/>
  <c r="I52" i="2" s="1"/>
  <c r="DW2" i="2" s="1"/>
  <c r="F51" i="2"/>
  <c r="I51" i="2" s="1"/>
  <c r="DR2" i="2" s="1"/>
  <c r="F50" i="2"/>
  <c r="I50" i="2" s="1"/>
  <c r="DM2" i="2" s="1"/>
  <c r="H49" i="2"/>
  <c r="DG2" i="2" s="1"/>
  <c r="F31" i="2"/>
  <c r="I31" i="2" s="1"/>
  <c r="BP2" i="2" s="1"/>
  <c r="F30" i="2"/>
  <c r="I30" i="2" s="1"/>
  <c r="BK2" i="2" s="1"/>
  <c r="F29" i="2"/>
  <c r="I29" i="2" s="1"/>
  <c r="BF2" i="2" s="1"/>
  <c r="F18" i="2"/>
  <c r="I18" i="2" s="1"/>
  <c r="Z2" i="2" s="1"/>
  <c r="F28" i="2"/>
  <c r="I28" i="2" s="1"/>
  <c r="BA2" i="2" s="1"/>
  <c r="F27" i="2"/>
  <c r="I27" i="2" s="1"/>
  <c r="AV2" i="2" s="1"/>
  <c r="F20" i="2"/>
  <c r="I20" i="2" s="1"/>
  <c r="AJ2" i="2" s="1"/>
  <c r="F19" i="2"/>
  <c r="I19" i="2" s="1"/>
  <c r="AE2" i="2" s="1"/>
  <c r="H37" i="2"/>
  <c r="BV2" i="2" s="1"/>
  <c r="F17" i="2"/>
  <c r="I17" i="2" s="1"/>
  <c r="U2" i="2" s="1"/>
  <c r="F16" i="2"/>
  <c r="I16" i="2" s="1"/>
  <c r="P2" i="2" s="1"/>
  <c r="HX2" i="2"/>
  <c r="HY2" i="2"/>
  <c r="J53" i="2"/>
  <c r="HQ2" i="2" s="1"/>
  <c r="J52" i="2"/>
  <c r="HM2" i="2" s="1"/>
  <c r="J51" i="2"/>
  <c r="HI2" i="2" s="1"/>
  <c r="J50" i="2"/>
  <c r="HE2" i="2" s="1"/>
  <c r="J49" i="2"/>
  <c r="HA2" i="2" s="1"/>
  <c r="J48" i="2"/>
  <c r="GW2" i="2" s="1"/>
  <c r="AY2" i="2" l="1"/>
  <c r="O16" i="2"/>
  <c r="R16" i="2"/>
  <c r="N16" i="2"/>
  <c r="P16" i="2"/>
  <c r="Q16" i="2"/>
  <c r="H18" i="2"/>
  <c r="Y2" i="2" s="1"/>
  <c r="Q18" i="2"/>
  <c r="R18" i="2"/>
  <c r="N18" i="2"/>
  <c r="P18" i="2"/>
  <c r="O18" i="2"/>
  <c r="H53" i="2"/>
  <c r="EA2" i="2" s="1"/>
  <c r="R53" i="2"/>
  <c r="Q53" i="2"/>
  <c r="P53" i="2"/>
  <c r="O53" i="2"/>
  <c r="N53" i="2"/>
  <c r="H19" i="2"/>
  <c r="AD2" i="2" s="1"/>
  <c r="Q19" i="2"/>
  <c r="P19" i="2"/>
  <c r="N19" i="2"/>
  <c r="O19" i="2"/>
  <c r="R19" i="2"/>
  <c r="R31" i="2"/>
  <c r="O31" i="2"/>
  <c r="Q31" i="2"/>
  <c r="N31" i="2"/>
  <c r="P31" i="2"/>
  <c r="H38" i="2"/>
  <c r="CA2" i="2" s="1"/>
  <c r="N38" i="2"/>
  <c r="Q38" i="2"/>
  <c r="O38" i="2"/>
  <c r="P38" i="2"/>
  <c r="R38" i="2"/>
  <c r="H20" i="2"/>
  <c r="AI2" i="2" s="1"/>
  <c r="P20" i="2"/>
  <c r="Q20" i="2"/>
  <c r="O20" i="2"/>
  <c r="R20" i="2"/>
  <c r="N20" i="2"/>
  <c r="H40" i="2"/>
  <c r="CK2" i="2" s="1"/>
  <c r="Q40" i="2"/>
  <c r="P40" i="2"/>
  <c r="R40" i="2"/>
  <c r="O40" i="2"/>
  <c r="N40" i="2"/>
  <c r="T26" i="2"/>
  <c r="Q26" i="2"/>
  <c r="P26" i="2"/>
  <c r="O26" i="2"/>
  <c r="N26" i="2"/>
  <c r="R26" i="2"/>
  <c r="H50" i="2"/>
  <c r="DL2" i="2" s="1"/>
  <c r="R50" i="2"/>
  <c r="N50" i="2"/>
  <c r="O50" i="2"/>
  <c r="Q50" i="2"/>
  <c r="P50" i="2"/>
  <c r="H17" i="2"/>
  <c r="T2" i="2" s="1"/>
  <c r="Q17" i="2"/>
  <c r="O17" i="2"/>
  <c r="N17" i="2"/>
  <c r="R17" i="2"/>
  <c r="P17" i="2"/>
  <c r="H29" i="2"/>
  <c r="BE2" i="2" s="1"/>
  <c r="P29" i="2"/>
  <c r="Q29" i="2"/>
  <c r="O29" i="2"/>
  <c r="N29" i="2"/>
  <c r="R29" i="2"/>
  <c r="R48" i="2"/>
  <c r="Q48" i="2"/>
  <c r="P48" i="2"/>
  <c r="O48" i="2"/>
  <c r="N48" i="2"/>
  <c r="H30" i="2"/>
  <c r="BJ2" i="2" s="1"/>
  <c r="N30" i="2"/>
  <c r="O30" i="2"/>
  <c r="R30" i="2"/>
  <c r="Q30" i="2"/>
  <c r="P30" i="2"/>
  <c r="H39" i="2"/>
  <c r="CF2" i="2" s="1"/>
  <c r="Q39" i="2"/>
  <c r="R39" i="2"/>
  <c r="P39" i="2"/>
  <c r="O39" i="2"/>
  <c r="N39" i="2"/>
  <c r="H27" i="2"/>
  <c r="AU2" i="2" s="1"/>
  <c r="O27" i="2"/>
  <c r="N27" i="2"/>
  <c r="R27" i="2"/>
  <c r="P27" i="2"/>
  <c r="Q27" i="2"/>
  <c r="H51" i="2"/>
  <c r="DQ2" i="2" s="1"/>
  <c r="R51" i="2"/>
  <c r="O51" i="2"/>
  <c r="Q51" i="2"/>
  <c r="N51" i="2"/>
  <c r="P51" i="2"/>
  <c r="H28" i="2"/>
  <c r="AZ2" i="2" s="1"/>
  <c r="R28" i="2"/>
  <c r="P28" i="2"/>
  <c r="N28" i="2"/>
  <c r="Q28" i="2"/>
  <c r="O28" i="2"/>
  <c r="P52" i="2"/>
  <c r="N52" i="2"/>
  <c r="Q52" i="2"/>
  <c r="O52" i="2"/>
  <c r="R52" i="2"/>
  <c r="H16" i="2"/>
  <c r="O2" i="2" s="1"/>
  <c r="H31" i="2"/>
  <c r="BO2" i="2" s="1"/>
  <c r="T53" i="2"/>
  <c r="T40" i="2"/>
  <c r="T39" i="2"/>
  <c r="T38" i="2"/>
  <c r="H52" i="2"/>
  <c r="DV2" i="2" s="1"/>
  <c r="T52" i="2"/>
  <c r="T31" i="2"/>
  <c r="T51" i="2"/>
  <c r="T50" i="2"/>
  <c r="T37" i="2"/>
  <c r="T28" i="2"/>
  <c r="T27" i="2"/>
  <c r="T30" i="2"/>
  <c r="T29" i="2"/>
  <c r="T19" i="2"/>
  <c r="T20" i="2"/>
  <c r="T17" i="2"/>
  <c r="T18" i="2"/>
  <c r="T16" i="2"/>
  <c r="H48" i="2"/>
  <c r="DB2" i="2" s="1"/>
  <c r="T48" i="2"/>
  <c r="H26" i="2"/>
  <c r="AP2" i="2" s="1"/>
  <c r="J26" i="2"/>
  <c r="FA2" i="2" s="1"/>
  <c r="J2" i="2"/>
  <c r="K15" i="2"/>
  <c r="ED2" i="2" s="1"/>
  <c r="J15" i="2"/>
  <c r="EC2" i="2" s="1"/>
  <c r="S2" i="2"/>
  <c r="M17" i="2"/>
  <c r="EN2" i="2" s="1"/>
  <c r="K17" i="2"/>
  <c r="EL2" i="2" s="1"/>
  <c r="L17" i="2"/>
  <c r="EM2" i="2" s="1"/>
  <c r="J17" i="2"/>
  <c r="EK2" i="2" s="1"/>
  <c r="AH2" i="2"/>
  <c r="M20" i="2"/>
  <c r="EZ2" i="2" s="1"/>
  <c r="L20" i="2"/>
  <c r="EY2" i="2" s="1"/>
  <c r="J20" i="2"/>
  <c r="EW2" i="2" s="1"/>
  <c r="K20" i="2"/>
  <c r="EX2" i="2" s="1"/>
  <c r="AC2" i="2"/>
  <c r="M19" i="2"/>
  <c r="EV2" i="2" s="1"/>
  <c r="L19" i="2"/>
  <c r="EU2" i="2" s="1"/>
  <c r="K19" i="2"/>
  <c r="ET2" i="2" s="1"/>
  <c r="J19" i="2"/>
  <c r="ES2" i="2" s="1"/>
  <c r="N2" i="2"/>
  <c r="M16" i="2"/>
  <c r="EJ2" i="2" s="1"/>
  <c r="J16" i="2"/>
  <c r="EG2" i="2" s="1"/>
  <c r="L16" i="2"/>
  <c r="EI2" i="2" s="1"/>
  <c r="K16" i="2"/>
  <c r="EH2" i="2" s="1"/>
  <c r="M18" i="2"/>
  <c r="ER2" i="2" s="1"/>
  <c r="K18" i="2"/>
  <c r="EP2" i="2" s="1"/>
  <c r="J18" i="2"/>
  <c r="EO2" i="2" s="1"/>
  <c r="L18" i="2"/>
  <c r="EQ2" i="2" s="1"/>
  <c r="M15" i="2"/>
  <c r="EF2" i="2" s="1"/>
  <c r="L15" i="2"/>
  <c r="EE2" i="2" s="1"/>
  <c r="CO2" i="2"/>
  <c r="K41" i="2"/>
  <c r="GP2" i="2" s="1"/>
  <c r="J41" i="2"/>
  <c r="GO2" i="2" s="1"/>
  <c r="L41" i="2"/>
  <c r="GQ2" i="2" s="1"/>
  <c r="M41" i="2"/>
  <c r="GR2" i="2" s="1"/>
  <c r="CT2" i="2"/>
  <c r="M42" i="2"/>
  <c r="GV2" i="2" s="1"/>
  <c r="J42" i="2"/>
  <c r="GS2" i="2" s="1"/>
  <c r="K42" i="2"/>
  <c r="GT2" i="2" s="1"/>
  <c r="L42" i="2"/>
  <c r="GU2" i="2" s="1"/>
  <c r="BZ2" i="2"/>
  <c r="J38" i="2"/>
  <c r="GC2" i="2" s="1"/>
  <c r="K38" i="2"/>
  <c r="GD2" i="2" s="1"/>
  <c r="L38" i="2"/>
  <c r="GE2" i="2" s="1"/>
  <c r="M38" i="2"/>
  <c r="GF2" i="2" s="1"/>
  <c r="CE2" i="2"/>
  <c r="J39" i="2"/>
  <c r="GG2" i="2" s="1"/>
  <c r="K39" i="2"/>
  <c r="GH2" i="2" s="1"/>
  <c r="L39" i="2"/>
  <c r="GI2" i="2" s="1"/>
  <c r="M39" i="2"/>
  <c r="GJ2" i="2" s="1"/>
  <c r="CJ2" i="2"/>
  <c r="J40" i="2"/>
  <c r="GK2" i="2" s="1"/>
  <c r="M40" i="2"/>
  <c r="GN2" i="2" s="1"/>
  <c r="L40" i="2"/>
  <c r="GM2" i="2" s="1"/>
  <c r="K40" i="2"/>
  <c r="GL2" i="2" s="1"/>
  <c r="BN2" i="2"/>
  <c r="L31" i="2"/>
  <c r="FW2" i="2" s="1"/>
  <c r="J31" i="2"/>
  <c r="FU2" i="2" s="1"/>
  <c r="K31" i="2"/>
  <c r="FV2" i="2" s="1"/>
  <c r="M31" i="2"/>
  <c r="FX2" i="2" s="1"/>
  <c r="BI2" i="2"/>
  <c r="J30" i="2"/>
  <c r="FQ2" i="2" s="1"/>
  <c r="K30" i="2"/>
  <c r="FR2" i="2" s="1"/>
  <c r="L30" i="2"/>
  <c r="FS2" i="2" s="1"/>
  <c r="M30" i="2"/>
  <c r="FT2" i="2" s="1"/>
  <c r="BD2" i="2"/>
  <c r="M29" i="2"/>
  <c r="FP2" i="2" s="1"/>
  <c r="J29" i="2"/>
  <c r="FM2" i="2" s="1"/>
  <c r="K29" i="2"/>
  <c r="FN2" i="2" s="1"/>
  <c r="L29" i="2"/>
  <c r="FO2" i="2" s="1"/>
  <c r="J28" i="2"/>
  <c r="FI2" i="2" s="1"/>
  <c r="K28" i="2"/>
  <c r="FJ2" i="2" s="1"/>
  <c r="L28" i="2"/>
  <c r="FK2" i="2" s="1"/>
  <c r="M28" i="2"/>
  <c r="FL2" i="2" s="1"/>
  <c r="AT2" i="2"/>
  <c r="M27" i="2"/>
  <c r="FH2" i="2" s="1"/>
  <c r="L27" i="2"/>
  <c r="FG2" i="2" s="1"/>
  <c r="K27" i="2"/>
  <c r="FF2" i="2" s="1"/>
  <c r="J27" i="2"/>
  <c r="FE2" i="2" s="1"/>
  <c r="K26" i="2"/>
  <c r="FB2" i="2" s="1"/>
  <c r="L26" i="2"/>
  <c r="FC2" i="2" s="1"/>
  <c r="M26" i="2"/>
  <c r="FD2" i="2" s="1"/>
  <c r="DZ2" i="2"/>
  <c r="M53" i="2"/>
  <c r="HT2" i="2" s="1"/>
  <c r="HS2" i="2"/>
  <c r="K53" i="2"/>
  <c r="HR2" i="2" s="1"/>
  <c r="DU2" i="2"/>
  <c r="M52" i="2"/>
  <c r="HP2" i="2" s="1"/>
  <c r="L52" i="2"/>
  <c r="HO2" i="2" s="1"/>
  <c r="K52" i="2"/>
  <c r="HN2" i="2" s="1"/>
  <c r="DK2" i="2"/>
  <c r="L50" i="2"/>
  <c r="HG2" i="2" s="1"/>
  <c r="M50" i="2"/>
  <c r="HH2" i="2" s="1"/>
  <c r="K50" i="2"/>
  <c r="HF2" i="2" s="1"/>
  <c r="DA2" i="2"/>
  <c r="K48" i="2"/>
  <c r="GX2" i="2" s="1"/>
  <c r="M48" i="2"/>
  <c r="GZ2" i="2" s="1"/>
  <c r="L48" i="2"/>
  <c r="GY2" i="2" s="1"/>
  <c r="DP2" i="2"/>
  <c r="K51" i="2"/>
  <c r="HJ2" i="2" s="1"/>
  <c r="L51" i="2"/>
  <c r="HK2" i="2" s="1"/>
  <c r="M51" i="2"/>
  <c r="HL2" i="2" s="1"/>
  <c r="DF2" i="2"/>
  <c r="M49" i="2"/>
  <c r="HD2" i="2" s="1"/>
  <c r="L49" i="2"/>
  <c r="HC2" i="2" s="1"/>
  <c r="K49" i="2"/>
  <c r="HB2" i="2" s="1"/>
  <c r="BU2" i="2"/>
  <c r="M37" i="2"/>
  <c r="GB2" i="2" s="1"/>
  <c r="J37" i="2"/>
  <c r="FY2" i="2" s="1"/>
  <c r="K37" i="2"/>
  <c r="FZ2" i="2" s="1"/>
  <c r="L37" i="2"/>
  <c r="GA2" i="2" s="1"/>
  <c r="AO2" i="2"/>
  <c r="X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<sst xmlns="http://schemas.openxmlformats.org/spreadsheetml/2006/main" count="3345" uniqueCount="2106">
  <si>
    <t>Project Name</t>
  </si>
  <si>
    <t>Countries</t>
  </si>
  <si>
    <t>Start Date</t>
  </si>
  <si>
    <t>End Date</t>
  </si>
  <si>
    <t>Date1</t>
  </si>
  <si>
    <t>Place1</t>
  </si>
  <si>
    <t>D1Time1</t>
  </si>
  <si>
    <t>D1Type1</t>
  </si>
  <si>
    <t>D1Investor1</t>
  </si>
  <si>
    <t>D1participant1</t>
  </si>
  <si>
    <t>D1address1</t>
  </si>
  <si>
    <t>D1Time2</t>
  </si>
  <si>
    <t>D1Type2</t>
  </si>
  <si>
    <t>D1Investor2</t>
  </si>
  <si>
    <t>D1participant2</t>
  </si>
  <si>
    <t>D1address2</t>
  </si>
  <si>
    <t>D1Time3</t>
  </si>
  <si>
    <t>D1Type3</t>
  </si>
  <si>
    <t>D1Investor3</t>
  </si>
  <si>
    <t>D1participant3</t>
  </si>
  <si>
    <t>D1address3</t>
  </si>
  <si>
    <t>D1Time4</t>
  </si>
  <si>
    <t>D1Type4</t>
  </si>
  <si>
    <t>D1Investor4</t>
  </si>
  <si>
    <t>D1participant4</t>
  </si>
  <si>
    <t>D1address4</t>
  </si>
  <si>
    <t>D1Time5</t>
  </si>
  <si>
    <t>D1Type5</t>
  </si>
  <si>
    <t>D1Investor5</t>
  </si>
  <si>
    <t>D1participant5</t>
  </si>
  <si>
    <t>D1address5</t>
  </si>
  <si>
    <t>D1Time6</t>
  </si>
  <si>
    <t>D1Type6</t>
  </si>
  <si>
    <t>D1Investor6</t>
  </si>
  <si>
    <t>D1participant6</t>
  </si>
  <si>
    <t>D1address6</t>
  </si>
  <si>
    <t>Date2</t>
  </si>
  <si>
    <t>Place2</t>
  </si>
  <si>
    <t>D2Time1</t>
  </si>
  <si>
    <t>D2Type1</t>
  </si>
  <si>
    <t>D2Investor1</t>
  </si>
  <si>
    <t>D2participant1</t>
  </si>
  <si>
    <t>D2address1</t>
  </si>
  <si>
    <t>D2Time2</t>
  </si>
  <si>
    <t>D2Type2</t>
  </si>
  <si>
    <t>D2Investor2</t>
  </si>
  <si>
    <t>D2participant2</t>
  </si>
  <si>
    <t>D2address2</t>
  </si>
  <si>
    <t>D2Time3</t>
  </si>
  <si>
    <t>D2Type3</t>
  </si>
  <si>
    <t>D2Investor3</t>
  </si>
  <si>
    <t>D2participant3</t>
  </si>
  <si>
    <t>D2address3</t>
  </si>
  <si>
    <t>D2Time4</t>
  </si>
  <si>
    <t>D2Type4</t>
  </si>
  <si>
    <t>D2Investor4</t>
  </si>
  <si>
    <t>D2participant4</t>
  </si>
  <si>
    <t>D2address4</t>
  </si>
  <si>
    <t>D2Time5</t>
  </si>
  <si>
    <t>D2Type5</t>
  </si>
  <si>
    <t>D2Investor5</t>
  </si>
  <si>
    <t>D2participant5</t>
  </si>
  <si>
    <t>D2address5</t>
  </si>
  <si>
    <t>D2Time6</t>
  </si>
  <si>
    <t>D2Type6</t>
  </si>
  <si>
    <t>D2Investor6</t>
  </si>
  <si>
    <t>D2participant6</t>
  </si>
  <si>
    <t>D2address6</t>
  </si>
  <si>
    <t>Date3</t>
  </si>
  <si>
    <t>Place3</t>
  </si>
  <si>
    <t>D3Time1</t>
  </si>
  <si>
    <t>D3Type1</t>
  </si>
  <si>
    <t>D3Investor1</t>
  </si>
  <si>
    <t>D3participant1</t>
  </si>
  <si>
    <t>D3address1</t>
  </si>
  <si>
    <t>D3Time2</t>
  </si>
  <si>
    <t>D3Type2</t>
  </si>
  <si>
    <t>D3Investor2</t>
  </si>
  <si>
    <t>D3participant2</t>
  </si>
  <si>
    <t>D3address2</t>
  </si>
  <si>
    <t>D3Time3</t>
  </si>
  <si>
    <t>D3Type3</t>
  </si>
  <si>
    <t>D3Investor3</t>
  </si>
  <si>
    <t>D3participant3</t>
  </si>
  <si>
    <t>D3address3</t>
  </si>
  <si>
    <t>D3Time4</t>
  </si>
  <si>
    <t>D3Type4</t>
  </si>
  <si>
    <t>D3Investor4</t>
  </si>
  <si>
    <t>D3participant4</t>
  </si>
  <si>
    <t>D3address4</t>
  </si>
  <si>
    <t>D3Time5</t>
  </si>
  <si>
    <t>D3Type5</t>
  </si>
  <si>
    <t>D3Investor5</t>
  </si>
  <si>
    <t>D3participant5</t>
  </si>
  <si>
    <t>D3address5</t>
  </si>
  <si>
    <t>D3Time6</t>
  </si>
  <si>
    <t>D3Type6</t>
  </si>
  <si>
    <t>D3Investor6</t>
  </si>
  <si>
    <t>D3participant6</t>
  </si>
  <si>
    <t>D3address6</t>
  </si>
  <si>
    <t>Date4</t>
  </si>
  <si>
    <t>Place4</t>
  </si>
  <si>
    <t>D4Time1</t>
  </si>
  <si>
    <t>D4Type1</t>
  </si>
  <si>
    <t>D4Investor1</t>
  </si>
  <si>
    <t>D4participant1</t>
  </si>
  <si>
    <t>D4address1</t>
  </si>
  <si>
    <t>D4Time2</t>
  </si>
  <si>
    <t>D4Type2</t>
  </si>
  <si>
    <t>D4Investor2</t>
  </si>
  <si>
    <t>D4participant2</t>
  </si>
  <si>
    <t>D4address2</t>
  </si>
  <si>
    <t>D4Time3</t>
  </si>
  <si>
    <t>D4Type3</t>
  </si>
  <si>
    <t>D4Investor3</t>
  </si>
  <si>
    <t>D4participant3</t>
  </si>
  <si>
    <t>D4address3</t>
  </si>
  <si>
    <t>D4Time4</t>
  </si>
  <si>
    <t>D4Type4</t>
  </si>
  <si>
    <t>D4Investor4</t>
  </si>
  <si>
    <t>D4participant4</t>
  </si>
  <si>
    <t>D4address4</t>
  </si>
  <si>
    <t>D4Time5</t>
  </si>
  <si>
    <t>D4Type5</t>
  </si>
  <si>
    <t>D4Investor5</t>
  </si>
  <si>
    <t>D4participant5</t>
  </si>
  <si>
    <t>D4address5</t>
  </si>
  <si>
    <t>D4Time6</t>
  </si>
  <si>
    <t>D4Type6</t>
  </si>
  <si>
    <t>D4Investor6</t>
  </si>
  <si>
    <t>D4participant6</t>
  </si>
  <si>
    <t>D4address6</t>
  </si>
  <si>
    <t>D1Investor1Type</t>
  </si>
  <si>
    <t>D1Investor1Aum</t>
  </si>
  <si>
    <t>D1Investor1overview</t>
  </si>
  <si>
    <t>D1Investor1Cornerstone</t>
  </si>
  <si>
    <t>D1Investor2Type</t>
  </si>
  <si>
    <t>D1Investor2Aum</t>
  </si>
  <si>
    <t>D1Investor2overview</t>
  </si>
  <si>
    <t>D1Investor2Cornerstone</t>
  </si>
  <si>
    <t>D1Investor3Type</t>
  </si>
  <si>
    <t>D1Investor3Aum</t>
  </si>
  <si>
    <t>D1Investor3overview</t>
  </si>
  <si>
    <t>D1Investor3Cornerstone</t>
  </si>
  <si>
    <t>D1Investor4Type</t>
  </si>
  <si>
    <t>D1Investor4Aum</t>
  </si>
  <si>
    <t>D1Investor4overview</t>
  </si>
  <si>
    <t>D1Investor4Cornerstone</t>
  </si>
  <si>
    <t>D1Investor5Type</t>
  </si>
  <si>
    <t>D1Investor5Aum</t>
  </si>
  <si>
    <t>D1Investor5overview</t>
  </si>
  <si>
    <t>D1Investor5Cornerstone</t>
  </si>
  <si>
    <t>D1Investor6Type</t>
  </si>
  <si>
    <t>D1Investor6Aum</t>
  </si>
  <si>
    <t>D1Investor6overview</t>
  </si>
  <si>
    <t>D1Investor6Cornerstone</t>
  </si>
  <si>
    <t>D2Investor1Type</t>
  </si>
  <si>
    <t>D2Investor1Aum</t>
  </si>
  <si>
    <t>D2Investor1overview</t>
  </si>
  <si>
    <t>D2Investor1Cornerstone</t>
  </si>
  <si>
    <t>D2Investor2Type</t>
  </si>
  <si>
    <t>D2Investor2Aum</t>
  </si>
  <si>
    <t>D2Investor2overview</t>
  </si>
  <si>
    <t>D2Investor2Cornerstone</t>
  </si>
  <si>
    <t>D2Investor3Type</t>
  </si>
  <si>
    <t>D2Investor3Aum</t>
  </si>
  <si>
    <t>D2Investor3overview</t>
  </si>
  <si>
    <t>D2Investor3Cornerstone</t>
  </si>
  <si>
    <t>D2Investor4Type</t>
  </si>
  <si>
    <t>D2Investor4Aum</t>
  </si>
  <si>
    <t>D2Investor4overview</t>
  </si>
  <si>
    <t>D2Investor4Cornerstone</t>
  </si>
  <si>
    <t>D2Investor5Type</t>
  </si>
  <si>
    <t>D2Investor5Aum</t>
  </si>
  <si>
    <t>D2Investor5overview</t>
  </si>
  <si>
    <t>D2Investor5Cornerstone</t>
  </si>
  <si>
    <t>D2Investor6Type</t>
  </si>
  <si>
    <t>D2Investor6Aum</t>
  </si>
  <si>
    <t>D2Investor6overview</t>
  </si>
  <si>
    <t>D2Investor6Cornerstone</t>
  </si>
  <si>
    <t>D3Investor1Type</t>
  </si>
  <si>
    <t>D3Investor1Aum</t>
  </si>
  <si>
    <t>D3Investor1overview</t>
  </si>
  <si>
    <t>D3Investor1Cornerstone</t>
  </si>
  <si>
    <t>D3Investor2Type</t>
  </si>
  <si>
    <t>D3Investor2Aum</t>
  </si>
  <si>
    <t>D3Investor2overview</t>
  </si>
  <si>
    <t>D3Investor2Cornerstone</t>
  </si>
  <si>
    <t>D3Investor3Type</t>
  </si>
  <si>
    <t>D3Investor3Aum</t>
  </si>
  <si>
    <t>D3Investor3overview</t>
  </si>
  <si>
    <t>D3Investor3Cornerstone</t>
  </si>
  <si>
    <t>D3Investor4Type</t>
  </si>
  <si>
    <t>D3Investor4Aum</t>
  </si>
  <si>
    <t>D3Investor4overview</t>
  </si>
  <si>
    <t>D3Investor4Cornerstone</t>
  </si>
  <si>
    <t>D3Investor5Type</t>
  </si>
  <si>
    <t>D3Investor5Aum</t>
  </si>
  <si>
    <t>D3Investor5overview</t>
  </si>
  <si>
    <t>D3Investor5Cornerstone</t>
  </si>
  <si>
    <t>D3Investor6Type</t>
  </si>
  <si>
    <t>D3Investor6Aum</t>
  </si>
  <si>
    <t>D3Investor6overview</t>
  </si>
  <si>
    <t>D3Investor6Cornerstone</t>
  </si>
  <si>
    <t>D4Investor1Type</t>
  </si>
  <si>
    <t>D4Investor1Aum</t>
  </si>
  <si>
    <t>D4Investor1overview</t>
  </si>
  <si>
    <t>D4Investor1Cornerstone</t>
  </si>
  <si>
    <t>D4Investor2Type</t>
  </si>
  <si>
    <t>D4Investor2Aum</t>
  </si>
  <si>
    <t>D4Investor2overview</t>
  </si>
  <si>
    <t>D4Investor2Cornerstone</t>
  </si>
  <si>
    <t>D4Investor3Type</t>
  </si>
  <si>
    <t>D4Investor3Aum</t>
  </si>
  <si>
    <t>D4Investor3overview</t>
  </si>
  <si>
    <t>D4Investor3Cornerstone</t>
  </si>
  <si>
    <t>D4Investor4Type</t>
  </si>
  <si>
    <t>D4Investor4Aum</t>
  </si>
  <si>
    <t>D4Investor4overview</t>
  </si>
  <si>
    <t>D4Investor4Cornerstone</t>
  </si>
  <si>
    <t>D4Investor5Type</t>
  </si>
  <si>
    <t>D4Investor5Aum</t>
  </si>
  <si>
    <t>D4Investor5overview</t>
  </si>
  <si>
    <t>D4Investor5Cornerstone</t>
  </si>
  <si>
    <t>D4Investor6Type</t>
  </si>
  <si>
    <t>D4Investor6Aum</t>
  </si>
  <si>
    <t>D4Investor6overview</t>
  </si>
  <si>
    <t>D4Investor6Cornerstone</t>
  </si>
  <si>
    <t>P.1</t>
  </si>
  <si>
    <t>P.3</t>
  </si>
  <si>
    <t xml:space="preserve">Time </t>
  </si>
  <si>
    <t>Type1.1</t>
  </si>
  <si>
    <t>Type1.2</t>
  </si>
  <si>
    <t>Type1.3</t>
  </si>
  <si>
    <t>participant</t>
  </si>
  <si>
    <t>address</t>
  </si>
  <si>
    <t>InvestorType</t>
  </si>
  <si>
    <t>AUM</t>
  </si>
  <si>
    <t>Company Overview</t>
  </si>
  <si>
    <t>1对1</t>
  </si>
  <si>
    <t>线下会议</t>
  </si>
  <si>
    <t>中文</t>
  </si>
  <si>
    <t>安联投资</t>
  </si>
  <si>
    <t>动域资本</t>
  </si>
  <si>
    <t>12:30-14:00</t>
  </si>
  <si>
    <t>弘盛资本</t>
  </si>
  <si>
    <t>14:30-15:30</t>
  </si>
  <si>
    <t>Artisan Partners</t>
  </si>
  <si>
    <t>16:00-17:00</t>
  </si>
  <si>
    <t>思柏投资</t>
  </si>
  <si>
    <t>Balyasny</t>
  </si>
  <si>
    <t>p.4</t>
  </si>
  <si>
    <t>3W Fund</t>
  </si>
  <si>
    <t>霸菱资管</t>
  </si>
  <si>
    <t>贝莱德</t>
  </si>
  <si>
    <t>p.5</t>
  </si>
  <si>
    <t>交银保险资管</t>
  </si>
  <si>
    <t>中国守正基金</t>
  </si>
  <si>
    <t>p.6</t>
  </si>
  <si>
    <t>中国东方</t>
  </si>
  <si>
    <t>Citadel</t>
  </si>
  <si>
    <t>信庭</t>
  </si>
  <si>
    <t>1对1
线下会议
中文</t>
  </si>
  <si>
    <t>大行科工</t>
  </si>
  <si>
    <t>私募股权</t>
  </si>
  <si>
    <t>多策略基金</t>
  </si>
  <si>
    <t>中资长线</t>
  </si>
  <si>
    <t>中银航空租赁、国联证券、联想控股、三生制药</t>
  </si>
  <si>
    <t>Investor Database 总表</t>
  </si>
  <si>
    <t>序号</t>
  </si>
  <si>
    <t>更新时间</t>
  </si>
  <si>
    <t>机构名称（中文）</t>
  </si>
  <si>
    <t>机构名称（英文）</t>
  </si>
  <si>
    <t>投资者类型</t>
  </si>
  <si>
    <t>投资人简介</t>
  </si>
  <si>
    <t>过往投资港股基石案例</t>
  </si>
  <si>
    <t>其他投资案例</t>
  </si>
  <si>
    <t>联系人</t>
  </si>
  <si>
    <t>地址</t>
  </si>
  <si>
    <t>官网</t>
  </si>
  <si>
    <t>投资案例 网站</t>
  </si>
  <si>
    <t>其他补充资料</t>
  </si>
  <si>
    <t>投资人风格</t>
  </si>
  <si>
    <t>Cathy Chen（基金经理）</t>
  </si>
  <si>
    <t>百域資本</t>
  </si>
  <si>
    <t>About Capital</t>
  </si>
  <si>
    <t>Ted Chan（创始人）</t>
  </si>
  <si>
    <t>2026年1月26日</t>
  </si>
  <si>
    <t>强生、诺和诺德、特斯拉、奇瑞汽车、西门子、施耐德</t>
  </si>
  <si>
    <t>金钟金钟道 88 号太古广场二座 32 楼</t>
  </si>
  <si>
    <t>https://www.itjuzi.com/investfirm/7773</t>
  </si>
  <si>
    <t>刘子龙（基金经理）</t>
  </si>
  <si>
    <t>Arena</t>
  </si>
  <si>
    <t>Ariose</t>
  </si>
  <si>
    <t>忻怡（基金经理）</t>
  </si>
  <si>
    <t>微创机器人-B、堃博医疗-B</t>
  </si>
  <si>
    <t>Nina Zhang（分析师）</t>
  </si>
  <si>
    <t>Aspex</t>
  </si>
  <si>
    <t>王俊尧（基金经理）</t>
  </si>
  <si>
    <t>Athos</t>
  </si>
  <si>
    <t>Linda Lin （大中华区研究主管）</t>
  </si>
  <si>
    <t>Adrian Lee（ECM）</t>
  </si>
  <si>
    <t>Barings</t>
  </si>
  <si>
    <t>BFAM</t>
  </si>
  <si>
    <t>BlackRock</t>
  </si>
  <si>
    <t>博骏教育、中国新华教育、国泰君安、宇华教育、光大证券、东方证券</t>
  </si>
  <si>
    <t>Edwin LI（基金经理）</t>
  </si>
  <si>
    <t>博克希尔全球管理</t>
  </si>
  <si>
    <t>Burkehill</t>
  </si>
  <si>
    <t>Capital International是资本集团（Capital Group）下属三大基金之一，是世界上最重要的长线基金之一。公司坚持基本面分析，采取从基本面到宏观经济和政策的分析方法，对企业的内在价值进行深入的挖掘，注重长期回报。资产管理规模约2.8万亿美元</t>
  </si>
  <si>
    <t>尚飞雨（投资经理）</t>
  </si>
  <si>
    <t>Eric Choi（副总裁）</t>
  </si>
  <si>
    <t>China Alpha</t>
  </si>
  <si>
    <t>https://fintech.qizhidao.com/invest/detail/100469</t>
  </si>
  <si>
    <t>China Orient</t>
  </si>
  <si>
    <t>张峰 （基金经理）</t>
  </si>
  <si>
    <t>中投</t>
  </si>
  <si>
    <t>地方政府平台</t>
  </si>
  <si>
    <t>Albert Jin（分析师）</t>
  </si>
  <si>
    <t>https://fintech.qizhidao.com/invest/detail/396
https://www.itjuzi.com/investfirm/275</t>
  </si>
  <si>
    <t>云顶新耀-B</t>
  </si>
  <si>
    <t>Julia Tsai（分析师）</t>
  </si>
  <si>
    <t>Cithara</t>
  </si>
  <si>
    <t>Justin Zhang（创始人）
王辉（董事总经理）</t>
  </si>
  <si>
    <t>中环花园道 3 号中国工商银行大厦 36 楼 3607-08室</t>
  </si>
  <si>
    <t>超过20亿人民币</t>
  </si>
  <si>
    <t>奇点</t>
  </si>
  <si>
    <t>Cloudalpha</t>
  </si>
  <si>
    <t>Jason Ming（基金经理）</t>
  </si>
  <si>
    <t>刚睿资本</t>
  </si>
  <si>
    <t>CoreView</t>
  </si>
  <si>
    <t>拼多多（PDD）、携程（TCOM）、百度（BIDU）</t>
  </si>
  <si>
    <t>张康康（基金经理）
Lydia Hui（分析师）</t>
  </si>
  <si>
    <t>约6.3亿美元</t>
  </si>
  <si>
    <t>源峰</t>
  </si>
  <si>
    <t>CPE</t>
  </si>
  <si>
    <t>宁德时代、美的集团、海天味业、先瑞达医疗-B、毛戈平</t>
  </si>
  <si>
    <t>https://fintech.qizhidao.com/invest/detail/95827</t>
  </si>
  <si>
    <t>2026年1月19日</t>
  </si>
  <si>
    <t>南方东英</t>
  </si>
  <si>
    <t>CSOP</t>
  </si>
  <si>
    <t>宁德时代等</t>
  </si>
  <si>
    <t>Michael Pan (基金经理)</t>
  </si>
  <si>
    <t>香港交易广场二期2801-2802 室</t>
  </si>
  <si>
    <t>约1,835亿港元</t>
  </si>
  <si>
    <t>德邵基金</t>
  </si>
  <si>
    <t>新华保险、海通证券</t>
  </si>
  <si>
    <t>戴蒙亚洲资本</t>
  </si>
  <si>
    <t>Dymon Asia</t>
  </si>
  <si>
    <t>先瑞达医疗-B、科济药业-B</t>
  </si>
  <si>
    <t>Geoffery Lee
（合伙人，资本市场负责人）
Shiyuan Wang
（投资分析师）</t>
  </si>
  <si>
    <t>瀚亚投资</t>
  </si>
  <si>
    <t>Eastspring Investment</t>
  </si>
  <si>
    <t>易亚投资</t>
  </si>
  <si>
    <t>EIP</t>
  </si>
  <si>
    <t>壁仞科技</t>
  </si>
  <si>
    <t>Jason Jiang
（基金经理）
Gin Tian
（投资经理）</t>
  </si>
  <si>
    <t>中环雪厂街10号新显利大厦337室</t>
  </si>
  <si>
    <t>40亿美元</t>
  </si>
  <si>
    <t>Factorial</t>
  </si>
  <si>
    <t>迅策</t>
  </si>
  <si>
    <t>Kyle Chan（投资经理）</t>
  </si>
  <si>
    <t>中环安庆台1号安庆大厦12楼</t>
  </si>
  <si>
    <t>20亿美元</t>
  </si>
  <si>
    <t>富达国际</t>
  </si>
  <si>
    <t>Fidelity</t>
  </si>
  <si>
    <t>医脉通、归创通桥- B、联易融科技-W、快手-W、德琪医药- B、荣昌生物-B、明源云、农夫山泉、欧康维视生物-B、康基医疗</t>
  </si>
  <si>
    <t>富达研究管理</t>
  </si>
  <si>
    <t>康方生物、德琪医药-B、医脉通</t>
  </si>
  <si>
    <t>Jackie Chien （资本市场部总监）</t>
  </si>
  <si>
    <t>Ghisallo</t>
  </si>
  <si>
    <t>顺丰控股、华润饮料</t>
  </si>
  <si>
    <t>Ho Kun Lin 
（ECM业务负责人）
Philippe Ziegler
（基金经理）
Vivian Lau
（资深分析师）</t>
  </si>
  <si>
    <t>新加坡政府投资</t>
  </si>
  <si>
    <t>GIC</t>
  </si>
  <si>
    <t>主权基金</t>
  </si>
  <si>
    <t>三花智控、海天味业、恒瑞医药、医脉通、兆科眼科- B、诺辉健康-B、快手-W、心通医疗- B、华润万象生活、京东健康</t>
  </si>
  <si>
    <t>8,470亿美元</t>
  </si>
  <si>
    <t>旭松投资</t>
  </si>
  <si>
    <t>Golden Pine Capital</t>
  </si>
  <si>
    <t>畲鹏（创始人）</t>
  </si>
  <si>
    <t>景林资产</t>
  </si>
  <si>
    <t>Greenwoods</t>
  </si>
  <si>
    <t>安井食品、三花智控、宁德时代、布鲁可、汇通达网络、泉峰控股、东软教育、薫燭玄瑁宁杰瑞制药- B、方达控股、信达生物- B、海底捞、天立教育、中教控股</t>
  </si>
  <si>
    <t>浩然资本</t>
  </si>
  <si>
    <t>Hao Advisors Management</t>
  </si>
  <si>
    <t>张昊（创始人）</t>
  </si>
  <si>
    <t>嘉实国际投资</t>
  </si>
  <si>
    <t>HGCI</t>
  </si>
  <si>
    <t>佰泽医疗、宜明昂科-B、知行科技、绿竹生物-B、梅斯健康、美丽田园医疗健康、亿华通、博安生物、心泰医疗、叮当健康、柠萌影视、微创脑科学、智云健康、瑞科生物-B、安能物流、佳源服务、合景悠活、乐享集团、兴证国际、中信金融资产</t>
  </si>
  <si>
    <t>Katherine Sun（基金经理）, Nicole Zhang（基金经理）</t>
  </si>
  <si>
    <t>香港中环交易广场一座33楼3301-3302室</t>
  </si>
  <si>
    <t>1,210亿元美元</t>
  </si>
  <si>
    <t>高瓴资本</t>
  </si>
  <si>
    <t>Hillhouse</t>
  </si>
  <si>
    <t>733亿美元</t>
  </si>
  <si>
    <t>云想科技</t>
  </si>
  <si>
    <t>Stephanie Wu（高级基金经理）</t>
  </si>
  <si>
    <t>IFBH、雍禾医疗、融创服务、时代集团控股、美的集团</t>
  </si>
  <si>
    <t>http://www.idgvc.com</t>
  </si>
  <si>
    <t>https://fintech.qizhidao.com/invest/detail/51</t>
  </si>
  <si>
    <t>无极资本</t>
  </si>
  <si>
    <t>Infini</t>
  </si>
  <si>
    <t>蓝思科技、曹操出行、顺丰控股、迅策、英矽智能、卧安机器人、剑桥科技</t>
  </si>
  <si>
    <t>Tony Huang（投资经理）</t>
  </si>
  <si>
    <t>金钟夏悫道10号长江集团中心2期27楼</t>
  </si>
  <si>
    <t>景顺</t>
  </si>
  <si>
    <t>景顺于 1935 年成立，业务覆盖超 25 个国家，以多元化产品体系助力客户分散投资风险，其产品紧密贴合目标市场需求，投资团队采用经市场验证的系统化流程，将风险管理贯穿于宏观分析、标的筛选到组合调整的全周期，通过本土化策略与全流程风控，持续为全球客户提供适配的资产管理解决方案。截止2024年12月，其资产管理规模为1.8万亿美元，管理中国相关资产1344.3亿美元</t>
  </si>
  <si>
    <t>恒瑞医药、药明合联、微泰医疗-B、腾盛博药-B、康诺亚-B、诺辉健康、快手-W、华能新能源</t>
  </si>
  <si>
    <t>Lijuan Du （基金经理）</t>
  </si>
  <si>
    <t>益尚资本</t>
  </si>
  <si>
    <t>Ishana</t>
  </si>
  <si>
    <t>基石药业-B</t>
  </si>
  <si>
    <t>Zhengyan Chua（合伙人）</t>
  </si>
  <si>
    <t>建峖实业投资</t>
  </si>
  <si>
    <t>和誉-B、康诺亚-B、昭衍新药、荣昌生物、云顶新耀、新世纪医疗</t>
  </si>
  <si>
    <t>简街资本</t>
  </si>
  <si>
    <t>Jane Street</t>
  </si>
  <si>
    <t>IFBH、三花智控</t>
  </si>
  <si>
    <t>Hai Tao Fuan
（资本市场负责人）
Tony Carango
（董事总经理，研究部主管）</t>
  </si>
  <si>
    <t>骏利亨德森</t>
  </si>
  <si>
    <t>Janus Henderson</t>
  </si>
  <si>
    <t>北海康成-B、联易融科技-W、诺辉健康</t>
  </si>
  <si>
    <t>1月26日</t>
  </si>
  <si>
    <t>Jain Global</t>
  </si>
  <si>
    <t>赛力斯、IFBH、聚水潭</t>
  </si>
  <si>
    <t>君实生物</t>
  </si>
  <si>
    <t>Jerry Zhou 
（基金经理）
Max Zhang 
(基金经理）</t>
  </si>
  <si>
    <t>中环皇后大道中31号陆海通大厦9楼</t>
  </si>
  <si>
    <t>60亿美元</t>
  </si>
  <si>
    <t>Jump Trading</t>
  </si>
  <si>
    <t>中环港景街 1 号国际金融中心 1 期 20 楼 2002 室</t>
  </si>
  <si>
    <t>3.1亿美元</t>
  </si>
  <si>
    <t>新特能源、青岛银行</t>
  </si>
  <si>
    <t>李维扬（基金经理）</t>
  </si>
  <si>
    <t>LMR</t>
  </si>
  <si>
    <t>蓝思科技、宁德时代、鹰瞳科技</t>
  </si>
  <si>
    <t>Ziyue Xiang（基金经理）</t>
  </si>
  <si>
    <t>宏利资管</t>
  </si>
  <si>
    <t>Manulife</t>
  </si>
  <si>
    <t>康宏理财</t>
  </si>
  <si>
    <t>Marshall Wace</t>
  </si>
  <si>
    <t>Marshall Wace成立于1997年，是一家总部位于伦敦的欧洲多策略基金，专注于量化、系统化与基本面多策略融合的投资模式，覆盖对冲基金与资产管理领域。旗下有两大旗舰投资平台：用长短仓策略追求绝对投资回报的alpha基金和注重投资标的基本面的价值发掘投资基金。Marshall Wace近几年来在亚洲积极扩张，积极参与各类港股上市项目，且对于认同的投资标的能够单笔下单在5千万至3亿美元范围，是非常活跃的港股上市项目机构投资者。截至2024年，其管理资产规模超700亿美元</t>
  </si>
  <si>
    <t>金科服务</t>
  </si>
  <si>
    <t>Lee Li（ECM负责人）</t>
  </si>
  <si>
    <t>Matrix Capital</t>
  </si>
  <si>
    <t>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t>
  </si>
  <si>
    <t>梦金园</t>
  </si>
  <si>
    <t>Maven</t>
  </si>
  <si>
    <t>Maven是一家市场领先的自有资金交易公司，投资策略包括自主决策策略、系统化策略及做市策略，致力于追求具备长期前景的可持续超额收益。公司的团队采用创新多元的策略发掘超额收益并构建交易方案，将资金部署于广泛的投资与套利策略中。同时依托全球市场准入、集中化数据及执行基础设施，享有领先自营交易商的优势资源。</t>
  </si>
  <si>
    <t>Paul Hadley（投资经理）</t>
  </si>
  <si>
    <t>千禧资本</t>
  </si>
  <si>
    <t>Millennium Capital</t>
  </si>
  <si>
    <t>恒瑞医药</t>
  </si>
  <si>
    <t>Shingo Nishimoto （资本市场负责）
Kenneth Lee（ECM）</t>
  </si>
  <si>
    <t>MSIM</t>
  </si>
  <si>
    <t>三花智控、顺丰控股、快手、海底捞</t>
  </si>
  <si>
    <t>My.Alpha</t>
  </si>
  <si>
    <t>高正阳（副总裁）</t>
  </si>
  <si>
    <t>日兴资管</t>
  </si>
  <si>
    <t>环球医疗</t>
  </si>
  <si>
    <t>Truman Du（基金经理）</t>
  </si>
  <si>
    <t>晋达</t>
  </si>
  <si>
    <t>Ninety One</t>
  </si>
  <si>
    <t>Joanna Yang（基金经理）</t>
  </si>
  <si>
    <t>North Rock</t>
  </si>
  <si>
    <t>Alen Lai (ECM)</t>
  </si>
  <si>
    <t>橡树资本</t>
  </si>
  <si>
    <t>Oaktree Capital</t>
  </si>
  <si>
    <t>蓝思科技、恒瑞医药、宁德时代、顺丰控股、华润饮料、康龙化成、中国信达</t>
  </si>
  <si>
    <t>Frank Carroll（董事总经理）</t>
  </si>
  <si>
    <t>Marvin Tang (基金经理），Richard Guan (研究员）</t>
  </si>
  <si>
    <t>超10亿美元</t>
  </si>
  <si>
    <t>https://cn.oasiscm.com/about-us/</t>
  </si>
  <si>
    <t>兰馨亚洲</t>
  </si>
  <si>
    <t>Orchid Asia</t>
  </si>
  <si>
    <t>宁德时代、九方财富、Vesync、合景悠活、宝龙商业、九方智投控股、华夏控股、天喔国际、时计宝、唐宫中国</t>
  </si>
  <si>
    <t>深圳市福田区福田街道福华一路111号招商证券大厦22楼</t>
  </si>
  <si>
    <t>约60亿美元</t>
  </si>
  <si>
    <t>欧万达基金</t>
  </si>
  <si>
    <t>Ovata</t>
  </si>
  <si>
    <t>海普瑞</t>
  </si>
  <si>
    <t>中庸资本</t>
  </si>
  <si>
    <t>Optimas Capital</t>
  </si>
  <si>
    <t>Stanley Wong（合伙人）</t>
  </si>
  <si>
    <t>农夫山泉</t>
  </si>
  <si>
    <t>中环交易广场 2 座 32 楼3206-08 室</t>
  </si>
  <si>
    <t>74万亿日元</t>
  </si>
  <si>
    <t>高毅资产</t>
  </si>
  <si>
    <t>宁德时代、先瑞达医疗-B、兆威机电、牧原股份、Minimax、智浦、纳芯微、三一重工、聚水潭、资金黄金国际</t>
  </si>
  <si>
    <t>https://fintech.qizhidao.com/invest/detail/6619</t>
  </si>
  <si>
    <t>中国人保</t>
  </si>
  <si>
    <t>PICC</t>
  </si>
  <si>
    <t>招商证劵、北京汽车、金风科技</t>
  </si>
  <si>
    <t>李文兵（总监）
Jason（资深分析师）</t>
  </si>
  <si>
    <t>4.37万亿人民币</t>
  </si>
  <si>
    <t>瑞士百达</t>
  </si>
  <si>
    <t>Pictet</t>
  </si>
  <si>
    <t>Glencore-S</t>
  </si>
  <si>
    <t>9,550亿美元</t>
  </si>
  <si>
    <t>柏瑞投资</t>
  </si>
  <si>
    <t>PineBridge</t>
  </si>
  <si>
    <t>Tony Lau（基金经理）</t>
  </si>
  <si>
    <t>保银</t>
  </si>
  <si>
    <t>Pinpoint</t>
  </si>
  <si>
    <t>FORTIOR、宁德时代、先瑞达医疗-B、心通医疗-B、东方证券、东阳光药、中国人民保险集团</t>
  </si>
  <si>
    <t>300亿人民币</t>
  </si>
  <si>
    <t>柏骏资本</t>
  </si>
  <si>
    <t>Polymer Capital</t>
  </si>
  <si>
    <t>Hillman Wong
（资本市场负责人）
Elaine Wang
（ECM董事）
Andy Kung
（基金经理）</t>
  </si>
  <si>
    <t>Vega Proprietary Holdings</t>
  </si>
  <si>
    <t>Lyndi（基金经理）</t>
  </si>
  <si>
    <t>谱润投资</t>
  </si>
  <si>
    <t>谱润投资（Principle Capital）是一家总部位于上海的中国本土投资机构，成立于2009年，专注于先进制造、现代服务、大健康和大消费等领域的股权投资。谱润投资同时管理人民币和美元投资基金，管理规模在22-95亿人民币之间。</t>
  </si>
  <si>
    <t>Peter Luo（投资总监）</t>
  </si>
  <si>
    <t>Point72</t>
  </si>
  <si>
    <t>Point72是一家国际知名的多策略基金，其前身是由史蒂文科恩（Steven A. Cohen）于1992创立的SAC Capital，在美国、香港、东京和新加坡均设有办公室。Point 72投资于全球市场各种类型的金融资产，对于股票投资，会从基本面研究出发，通过自上而下的研究分析，结合宏观判断作出投资决策，青睐科技行业的公司。截至2025年4月1日，其资产管理规模约457亿美元。</t>
  </si>
  <si>
    <t>Arthur Yeung 
（基金经理）
Jonathan Margo
（基金经理）</t>
  </si>
  <si>
    <t>启明创投</t>
  </si>
  <si>
    <t>Qiming</t>
  </si>
  <si>
    <t>黄佩华（合伙人）</t>
  </si>
  <si>
    <t>荷宝</t>
  </si>
  <si>
    <t>Rebeco</t>
  </si>
  <si>
    <t>鲁捷（基金经理）</t>
  </si>
  <si>
    <t>RWC是一家总部位于伦敦的新兴市场长线基金，在新加坡和美国设有办事处，偏好投资大中华地区项目，关注具有良好增长前景、估值合理且流动性良好的公司。截止2025年3月31日，资产管理规模达176亿美元。</t>
  </si>
  <si>
    <t>药明巨诺-B</t>
  </si>
  <si>
    <t>Colin Liang （基金经理）</t>
  </si>
  <si>
    <t>Schonfeld</t>
  </si>
  <si>
    <t>Schonfeld是一家美国对冲基金，投资范围涉及北美、欧洲及亚洲，并在不同的资产大类及产品均有所涉猎。公司是全球布局的多策略投资者，在过去30余年中致力于捕捉被低估的投资标的，在多年经验中搭建起专业成熟的基础面研究架构和风险控制体系</t>
  </si>
  <si>
    <t>Katherine Fu （副总裁）</t>
  </si>
  <si>
    <t>Schroders</t>
  </si>
  <si>
    <t>三花智控</t>
  </si>
  <si>
    <t>Serenity Capital</t>
  </si>
  <si>
    <t>陈望（创始人）</t>
  </si>
  <si>
    <t>Seven Grand Managers</t>
  </si>
  <si>
    <t>Thomas O‘Connor（交易主管）</t>
  </si>
  <si>
    <t>径流资本</t>
  </si>
  <si>
    <t>Stillbrook</t>
  </si>
  <si>
    <t>Krace Zhou（基金经理）</t>
  </si>
  <si>
    <t>淡马锡</t>
  </si>
  <si>
    <t>Temasek</t>
  </si>
  <si>
    <t>Neoen、Atlantica、钦州远能风电、华能新能源、比亚迪等</t>
  </si>
  <si>
    <t>普信</t>
  </si>
  <si>
    <t>Trivest</t>
  </si>
  <si>
    <t>Trivest成立于1981年，是历史最悠久的私募机构之一，总部位于美国。该投资者主要投资于医疗、消费、制造领域，积极参与资本扩充、内部扩张、收购、降杠杆等企业项目，近期对新能源产业链相关领域也表现出浓厚兴趣。资产管理规模为60亿美元</t>
  </si>
  <si>
    <t>何信（研究员、董事）</t>
  </si>
  <si>
    <t>中环皇后大道中15号置地广场公爵大厦3508-9</t>
  </si>
  <si>
    <t>UBS O’Connor</t>
  </si>
  <si>
    <t>UBS O’Connor是瑞银旗下活跃的多策略基金，频繁投资大中华市场的股权项目。基金主要进行相对价值投资，善用基本面分析，非常关注中国新经济行业，对于看好的投资机会将会长期持有。UBS O’Connor与瑞银集团在投资决策方面具有完全的独立性，涵盖广泛的投资计划，其投资策略寻求利用主要资产及传统投资基准的低相关性实现风险调整后的绝对回报
陈珺诚现任UBS O’Connor的董事，擅长基于公司基本面进行研究分析，长期关注大中华区新经济领域。资产管理规模138亿美元</t>
  </si>
  <si>
    <t>海天味业、恒瑞医药、宁德时代、布鲁可、万物云</t>
  </si>
  <si>
    <t>覃甲（基金经理）</t>
  </si>
  <si>
    <t>UG Investment</t>
  </si>
  <si>
    <t>Aaron Huang（基金经理）</t>
  </si>
  <si>
    <t>12月8日</t>
  </si>
  <si>
    <t>璞林资本</t>
  </si>
  <si>
    <t>多策略基金
医疗行业专家</t>
  </si>
  <si>
    <t>堃博医疗-B、先瑞达医疗-B、心玮医疗-B、腾盛博药-B、朝聚眼科、合景悠活</t>
  </si>
  <si>
    <t>崔伟（基金经理）
Lincoln Li（创始人）
Wendy Wang（基金经理）</t>
  </si>
  <si>
    <t>65亿人民币 其中包含 10亿美元</t>
  </si>
  <si>
    <t>https://www.itjuzi.com/investfirm/11141</t>
  </si>
  <si>
    <t>惠理基金</t>
  </si>
  <si>
    <t>Value Partners</t>
  </si>
  <si>
    <t>燕之屋、泉峰控股、信达生物-B、希望教育、天立教育、中教控股、东方证券、中金公司、中国再保险、联想控股、HTSC</t>
  </si>
  <si>
    <t>操礼艳（投资总监）</t>
  </si>
  <si>
    <t>Verition</t>
  </si>
  <si>
    <t>蓝思科技、三花智控</t>
  </si>
  <si>
    <t>Viridian</t>
  </si>
  <si>
    <t>Heidi Hung (head of research)</t>
  </si>
  <si>
    <t>Weiss</t>
  </si>
  <si>
    <t>Frank Wang （基金经理）</t>
  </si>
  <si>
    <t>WT AM</t>
  </si>
  <si>
    <t>Willing Capital</t>
  </si>
  <si>
    <t>Jack Lin（创始人）</t>
  </si>
  <si>
    <t>涌容资产</t>
  </si>
  <si>
    <t>Yongrong</t>
  </si>
  <si>
    <t>黄松辉（基金经理）</t>
  </si>
  <si>
    <t>安澜资本</t>
  </si>
  <si>
    <t>Anlan Capital</t>
  </si>
  <si>
    <t>Baoye Group</t>
  </si>
  <si>
    <t>企业投资人</t>
  </si>
  <si>
    <t>姜涛（投资总监）</t>
  </si>
  <si>
    <t>博时基金</t>
  </si>
  <si>
    <t>Bosera Fund</t>
  </si>
  <si>
    <t>https://fintech.qizhidao.com/invest/detail/12747</t>
  </si>
  <si>
    <t>博裕资本</t>
  </si>
  <si>
    <t>Boyu Capital</t>
  </si>
  <si>
    <t>常春藤</t>
  </si>
  <si>
    <t>Ivy Capital</t>
  </si>
  <si>
    <t>毛戈平、泉峰控股、雍禾医疗、鹰瞳科技-B、康圣环球、归创通桥- B、科济药业-B、贝康医疗- B、思摩尔国际、沛嘉医疗- B</t>
  </si>
  <si>
    <t>周昱昊（副总裁）</t>
  </si>
  <si>
    <t>长风资管</t>
  </si>
  <si>
    <t>Changfeng</t>
  </si>
  <si>
    <t>博雷顿</t>
  </si>
  <si>
    <t>刘江帆（合伙人）</t>
  </si>
  <si>
    <t>大成基金</t>
  </si>
  <si>
    <t>Dacheng AM</t>
  </si>
  <si>
    <t>林振辉（投资主管）</t>
  </si>
  <si>
    <t>Dajia AM</t>
  </si>
  <si>
    <t>美的集团、奇瑞汽车、三一重工</t>
  </si>
  <si>
    <t>徐冶丹（投资经理）
蒯学章（投资经理）
钱怡（投资经理）
李德宝（投资经理）
张萌（研究员）
吴斌（大家保险资产权益部）</t>
  </si>
  <si>
    <t>北京市朝阳区建国门外大街 6 号大家保险大厦</t>
  </si>
  <si>
    <t>约1.2万亿人民币</t>
  </si>
  <si>
    <t>大湾区基金</t>
  </si>
  <si>
    <t>品驰医疗、君圣泰、科望医药、和铂医药等
金石能源、安能物流、福佑卡车、比亚迪等</t>
  </si>
  <si>
    <t>湾仔港湾道 26 号华润大厦 38 楼</t>
  </si>
  <si>
    <t>约600亿港元</t>
  </si>
  <si>
    <t>淡水泉</t>
  </si>
  <si>
    <t>Spring Capital</t>
  </si>
  <si>
    <t>远洋服务</t>
  </si>
  <si>
    <t>赵军（创始人）</t>
  </si>
  <si>
    <t>Fullgoal Fund</t>
  </si>
  <si>
    <t>https://fintech.qizhidao.com/invest/detail/69747</t>
  </si>
  <si>
    <t>富兰克林邓普顿</t>
  </si>
  <si>
    <t>Franklin Templeton</t>
  </si>
  <si>
    <t>大唐环境、中粮家佳康、华润医药、招商证券、中银航空租赁、国联民生、联想控股、三生制药</t>
  </si>
  <si>
    <t>饶呈方（执行董事、资深研究员）</t>
  </si>
  <si>
    <t>复星资管</t>
  </si>
  <si>
    <t>Fusun</t>
  </si>
  <si>
    <t>招商证券、中银航空租赁、Mirxes-B、九源基因、艾迪康控股、联想控股、中国人民保险集团、新希望服务</t>
  </si>
  <si>
    <t>钱泽伟（投资首席）</t>
  </si>
  <si>
    <t>广发基金</t>
  </si>
  <si>
    <t>GF Fund</t>
  </si>
  <si>
    <t>国调基金/诚通/中国诚通</t>
  </si>
  <si>
    <t>China State owned Enterprise Restructuring Fund</t>
  </si>
  <si>
    <t>恒大物业、中国科教产业、申万宏源、中国科培、山东黄金、万物云、京东物流、农夫山泉、大唐环境、华润医药、邮储银行、中金公司、神州租车、中国光大银行、华能新能源、西锐飞机、京东物流、美的、力勤资源、万物云、中国中免、金力永磁
美的集团、中国中免、力勤资源等</t>
  </si>
  <si>
    <t>三一重工、赛力斯、禾赛、广汽埃安</t>
  </si>
  <si>
    <t>上环德辅道中189号李宝椿大厦22楼</t>
  </si>
  <si>
    <t>好赞资管</t>
  </si>
  <si>
    <t>乐华娱乐、星空华文、3D MEDICINES-B</t>
  </si>
  <si>
    <t>胡超(合伙人)</t>
  </si>
  <si>
    <t>浩成资管</t>
  </si>
  <si>
    <t>Annie Su（投资总监）</t>
  </si>
  <si>
    <t>润淼资管</t>
  </si>
  <si>
    <t>SilkyWater</t>
  </si>
  <si>
    <t>家族办公室</t>
  </si>
  <si>
    <t>知行汽车科技</t>
  </si>
  <si>
    <t>卢志威(合伙人)</t>
  </si>
  <si>
    <t>瑞橡资本</t>
  </si>
  <si>
    <t>Oakwise Capital</t>
  </si>
  <si>
    <t>香港中環干諾道中1號友邦金融中心32樓</t>
  </si>
  <si>
    <t>恒生投资</t>
  </si>
  <si>
    <t>Hang Seng Investment Management</t>
  </si>
  <si>
    <t>Stephanie Wan（基金经理）</t>
  </si>
  <si>
    <t>红杉中国</t>
  </si>
  <si>
    <t>Sequoia Capital</t>
  </si>
  <si>
    <t>蜜雪集团、海天味业、汇成国际控股、松龄护老集团、华泰证券、联易融科技-W、基石药业</t>
  </si>
  <si>
    <t>Raggie Fang（合伙人）</t>
  </si>
  <si>
    <t>华安基金</t>
  </si>
  <si>
    <t>黄绵之（投资经理）</t>
  </si>
  <si>
    <t>华夏基金</t>
  </si>
  <si>
    <t>China AMC</t>
  </si>
  <si>
    <t>超2.81万亿人民币</t>
  </si>
  <si>
    <t>汇添富</t>
  </si>
  <si>
    <t>China Universal AM</t>
  </si>
  <si>
    <t>https://fintech.qizhidao.com/invest/detail/13815</t>
  </si>
  <si>
    <t>嘉实基金</t>
  </si>
  <si>
    <t>Harvest Fund</t>
  </si>
  <si>
    <t>中环交易广场一期 33 楼3301-3302 室</t>
  </si>
  <si>
    <t>超1.45万亿人民币</t>
  </si>
  <si>
    <t>捷利交易宝</t>
  </si>
  <si>
    <t>TradeGo</t>
  </si>
  <si>
    <t>证券交易服务商</t>
  </si>
  <si>
    <t>飞天云动</t>
  </si>
  <si>
    <t>庄文骁(合伙人)</t>
  </si>
  <si>
    <t>南方基金</t>
  </si>
  <si>
    <t>China Southern</t>
  </si>
  <si>
    <t>深圳市福田区益田路5999号基金大厦32楼</t>
  </si>
  <si>
    <t>3,400 亿美元</t>
  </si>
  <si>
    <t>https://fintech.qizhidao.com/invest/detail/47564</t>
  </si>
  <si>
    <t>毅达资本</t>
  </si>
  <si>
    <t>Addor</t>
  </si>
  <si>
    <t>亚美能源</t>
  </si>
  <si>
    <t>卞旭东（高级合伙人）</t>
  </si>
  <si>
    <t>宁远资本</t>
  </si>
  <si>
    <t>Protium Capital</t>
  </si>
  <si>
    <t>张辛洋（合伙人）
陆宁（基金经理）</t>
  </si>
  <si>
    <t>北京市朝阳区光华路 1 号北京嘉里中心北楼 31 层</t>
  </si>
  <si>
    <t>平安资管</t>
  </si>
  <si>
    <t>华润万象生活、嘉和生物-B、中国能源建设、中国通号、联想控股、华泰证券、万达商业、中国信达</t>
  </si>
  <si>
    <t>车强（基金经理）</t>
  </si>
  <si>
    <t>睿远基金</t>
  </si>
  <si>
    <t>Foresight Fund</t>
  </si>
  <si>
    <t>维立志博-B、美的集团、科济药业-B</t>
  </si>
  <si>
    <t>SoftBank</t>
  </si>
  <si>
    <t>京东物流、众安在线</t>
  </si>
  <si>
    <t>范晓辉（合伙人）
杜朕安（投资经理）</t>
  </si>
  <si>
    <t>上海和谐汇一</t>
  </si>
  <si>
    <t>Visione Asset</t>
  </si>
  <si>
    <t>陈长春（董事）</t>
  </si>
  <si>
    <t>聚鸣投资</t>
  </si>
  <si>
    <t>Intewise Capital</t>
  </si>
  <si>
    <t>飞速创新</t>
  </si>
  <si>
    <t>Yujun Wang（研究员）</t>
  </si>
  <si>
    <t>约220亿人民币</t>
  </si>
  <si>
    <t>庄涛（创始人）</t>
  </si>
  <si>
    <t>通怡投资</t>
  </si>
  <si>
    <t>Tongyi Investment</t>
  </si>
  <si>
    <t>近期在香港IPO投资市场较为活跃，投资案例包括泰国知名椰子水品牌IFBH等。</t>
  </si>
  <si>
    <t>钱品竹（董事）</t>
  </si>
  <si>
    <t>上海希瓦</t>
  </si>
  <si>
    <t>梁宏（合伙人）</t>
  </si>
  <si>
    <t>上海于翼</t>
  </si>
  <si>
    <t>冯涛（合伙人）</t>
  </si>
  <si>
    <t>双城资本</t>
  </si>
  <si>
    <t>星盛商业、君实生物、思考乐教育、红星美凯龙、中广核电力、彩生活</t>
  </si>
  <si>
    <t>中国国家地理、网易云音乐、睿创微纳</t>
  </si>
  <si>
    <t>冯晔（创始合伙人）</t>
  </si>
  <si>
    <t>深圳市福田区中心五路18号星河发展中心603室</t>
  </si>
  <si>
    <t>四川璞信产融</t>
  </si>
  <si>
    <t>地方产业基金</t>
  </si>
  <si>
    <t>胡研宏(璞信产融投研中心部长)</t>
  </si>
  <si>
    <t>https://fintech.qizhidao.com/invest/detail/50132</t>
  </si>
  <si>
    <t>Tencent</t>
  </si>
  <si>
    <t>北京市朝阳区启皓北京大厦 12楼</t>
  </si>
  <si>
    <t>约1,500亿美元</t>
  </si>
  <si>
    <t>天壹资本</t>
  </si>
  <si>
    <t>Skycus Capital</t>
  </si>
  <si>
    <t>天壹资本的创始团队来自易方达股权投资部门，主要做一、二级市场股权投资，总在管资金规模约500亿，关注新能源、半导体、医疗等领域的投资机会
过往曾投资百余家企业，包括理想汽车、欣旺达动力电池、比亚迪半导体、地平线、芯驰等汽车和新能源产业链企业，华勤、集创北方、奕斯伟计算、思特威、百度昆仑等电子及半导体公司，京东健康、拼多多等平台型企业。资产管理规模约500亿人民币</t>
  </si>
  <si>
    <t>唐萌(创始人）</t>
  </si>
  <si>
    <t>雾凇资本</t>
  </si>
  <si>
    <t>Rime Capital</t>
  </si>
  <si>
    <t>王少华(创始合伙人)</t>
  </si>
  <si>
    <t>新华资管</t>
  </si>
  <si>
    <t>New China AM</t>
  </si>
  <si>
    <t>中国船舶、外高桥造船、广船国际、三一重工</t>
  </si>
  <si>
    <t>https://fintech.qizhidao.com/invest/detail/37162</t>
  </si>
  <si>
    <t>新鸿基家办</t>
  </si>
  <si>
    <t>中国光大银行、远东宏信</t>
  </si>
  <si>
    <t>丁晶晶(投资经理)</t>
  </si>
  <si>
    <t>信达汉石</t>
  </si>
  <si>
    <t>Sinorock</t>
  </si>
  <si>
    <t>华泰证券、广发证券、中广核电力</t>
  </si>
  <si>
    <t>HKD 60.5 billion</t>
  </si>
  <si>
    <t>兴证全球基金</t>
  </si>
  <si>
    <t>Aegon-industrial Fund</t>
  </si>
  <si>
    <t>兴证国际</t>
  </si>
  <si>
    <t>张传杰（基金经理助理、TMT组长）
孙若炜（专户投资经理）</t>
  </si>
  <si>
    <t>易方达</t>
  </si>
  <si>
    <t>Efund</t>
  </si>
  <si>
    <t>维立志博-B、映恩生物-B、雍禾医疗、先瑞达医疗-B、康诺亚-B、诺辉健康、心通医疗-B、荣昌生物-B、中国再保险、环球医疗、联想控股、中广核电力
鸣鸣很忙、Minimax、英矽智能、乐舒适、映恩生物</t>
  </si>
  <si>
    <t>4.1万亿人民币</t>
  </si>
  <si>
    <t>https://fintech.qizhidao.com/invest/detail/22391</t>
  </si>
  <si>
    <t>翼虎投资</t>
  </si>
  <si>
    <t>Flying Tiger</t>
  </si>
  <si>
    <t>Dinghong Yu（创始人）</t>
  </si>
  <si>
    <t>http://www.szyihu.com/</t>
  </si>
  <si>
    <t>招商基金</t>
  </si>
  <si>
    <t>China Merchants Fund</t>
  </si>
  <si>
    <t>公募基金</t>
  </si>
  <si>
    <t>来凯医药-B、中国通号、北京汽车</t>
  </si>
  <si>
    <t>钟文岳（CEO）</t>
  </si>
  <si>
    <t>招商局资本</t>
  </si>
  <si>
    <t>讯飞医疗科技、星盛商业、恒大物业、申万宏源、山东黄金、小米集团-W</t>
  </si>
  <si>
    <t>万谊青（CEO）</t>
  </si>
  <si>
    <t>https://fintech.qizhidao.com/invest/detail/21</t>
  </si>
  <si>
    <t>中信建投资管</t>
  </si>
  <si>
    <t>刘宁（投资经理）</t>
  </si>
  <si>
    <t>中银基金</t>
  </si>
  <si>
    <t>中外合资基金</t>
  </si>
  <si>
    <t>蓝月亮集团、国银金租、华能新能源、上海医药</t>
  </si>
  <si>
    <t>黄珺（基金经理）</t>
  </si>
  <si>
    <t>中邮保险</t>
  </si>
  <si>
    <t>中邮保险作为国内大型保险机构，采用以固定收益类资产为主、权益类资产为辅的稳健投资策略，重点布局交通运输、地方基础设施建设和不动产领域</t>
  </si>
  <si>
    <t>华润饮料、美的集团</t>
  </si>
  <si>
    <t>王佳钰（基金经理）</t>
  </si>
  <si>
    <t>中再资产</t>
  </si>
  <si>
    <t>国联民生、国联证劵、联想控股</t>
  </si>
  <si>
    <t>陆铭（基金经理）</t>
  </si>
  <si>
    <t>中金资本</t>
  </si>
  <si>
    <t>CICC Capital</t>
  </si>
  <si>
    <t>和黄医药、金科服务</t>
  </si>
  <si>
    <t>协鑫鑫科、中远海特、国网电力技术、太湖能谷</t>
  </si>
  <si>
    <t>徐显刚（执行总经理）
张晋研（高级经理）
胡可怡（分析员）</t>
  </si>
  <si>
    <t>北京市朝阳区建国门外大街一号国贸商城3期B座3606会议室</t>
  </si>
  <si>
    <t>4,576亿人民币</t>
  </si>
  <si>
    <t>智光投资</t>
  </si>
  <si>
    <t>蓝光嘉宝服务、移卡、开拓医疗、华检医疗、乐享互动、医渡科技、洲际船务、云迹、明略科技、聚水潭</t>
  </si>
  <si>
    <t>徐叶飞（董事长）</t>
  </si>
  <si>
    <t>投资人倾向于投资行业龙头企业，想更多的了解公司业务。主要关注公司未来业务增长规模。参会人是公司董事长，具有较大的决策权，公司的决策流程非常快，单一项目投资规模500-3,000万美金不等。根据过往投资情况，该机构倾向于锚定投资</t>
  </si>
  <si>
    <t>奕图资本</t>
  </si>
  <si>
    <t>Y2 Capital</t>
  </si>
  <si>
    <t>黄正初 （董事总经理）</t>
  </si>
  <si>
    <t>Pamalican</t>
  </si>
  <si>
    <t>Zhen Zhou Toh（基金经理）</t>
  </si>
  <si>
    <t>香港中环美利道 2 号The Henderson 26楼2603 室</t>
  </si>
  <si>
    <t>5亿美元</t>
  </si>
  <si>
    <t>雅润投资</t>
  </si>
  <si>
    <t>Yield Royal</t>
  </si>
  <si>
    <t>周厦（董事长）
张铁（首席执行官）
苏小凡（首席投资官）</t>
  </si>
  <si>
    <t>逾5亿美元</t>
  </si>
  <si>
    <t>卡塔尔投资局</t>
  </si>
  <si>
    <t>卡塔尔投资局（QIA）是卡塔尔国的主权财富基金，资产管理规模5,260亿美元。卡塔尔投资局成立于 2005 年，旨在保护和发展卡塔尔的金融资产，并实现经济多元化。专门从事公共股权、信贷、固定收益、私募股权、初创企业、房地产、基础设施和另类资产投资。该公司还在全球范围内对私募股权和风险投资基金进行基金投资。公司的投资横跨全球所有主要市场、资产类别、行业和地域。公司力求投资于可再生能源、能源储存、环保型房地产、基础设施、碳氢化合物、科技、媒体和电信、医疗保健、金融机构、零售、消费、工业、材料和电动汽车等领域。</t>
  </si>
  <si>
    <t>Pheim AM</t>
  </si>
  <si>
    <t>Teo Chon Kiat（基金经理）</t>
  </si>
  <si>
    <t>泉观资本</t>
  </si>
  <si>
    <t>Spring Gate Capital</t>
  </si>
  <si>
    <t>Jeffrey Wong（首席投资官、创始人）</t>
  </si>
  <si>
    <t>立格资本</t>
  </si>
  <si>
    <t>布洛德峰投资</t>
  </si>
  <si>
    <t>Steven Huang（董事总经理）</t>
  </si>
  <si>
    <t>云峰基金</t>
  </si>
  <si>
    <t>YF Capital</t>
  </si>
  <si>
    <t>四环医药</t>
  </si>
  <si>
    <t>董怀谨（投资副总裁）</t>
  </si>
  <si>
    <t>Qube</t>
  </si>
  <si>
    <t>Yolanda Zhang (资深分析师)</t>
  </si>
  <si>
    <t>云沐资本</t>
  </si>
  <si>
    <t>YM Capital</t>
  </si>
  <si>
    <t>李津瑶 (分析师)</t>
  </si>
  <si>
    <t>Alpine</t>
  </si>
  <si>
    <t>Gavin Liu (资深分析师)</t>
  </si>
  <si>
    <t>上实资本</t>
  </si>
  <si>
    <t>SIIC</t>
  </si>
  <si>
    <t>陈小栋（董事总经理兼证券市场部总经理）
吴博（执行董事）</t>
  </si>
  <si>
    <t>鑫巢资本</t>
  </si>
  <si>
    <t>Golden Nest</t>
  </si>
  <si>
    <t>长线基金</t>
  </si>
  <si>
    <t>吴桢（高级分析师）</t>
  </si>
  <si>
    <t>汉景家办</t>
  </si>
  <si>
    <t>杨崎左 (基金经理)</t>
  </si>
  <si>
    <t>软银中国</t>
  </si>
  <si>
    <t>王雨舟（投资总监）</t>
  </si>
  <si>
    <t>东方红资管</t>
  </si>
  <si>
    <t>Orient</t>
  </si>
  <si>
    <t>周云（投资一部总经理）
刘锐（基金经理）
吴丹（研究员）
廖家瑞（研究员）</t>
  </si>
  <si>
    <t>清池资本</t>
  </si>
  <si>
    <t>Lake Bleu</t>
  </si>
  <si>
    <t>康龙化成、京东健康、和誉-B、微泰医疗-B、鹰瞳科技-B、雍禾医疗、药明合联、映恩生物-B</t>
  </si>
  <si>
    <t>丁智栋（董事总经理）
金靓竹（高级投资经理）</t>
  </si>
  <si>
    <t>Shikhara Capital</t>
  </si>
  <si>
    <t>Shikhara Capital 于 2023 年 11 月成立，汇聚了经验丰富的资深专业人士。公司在纽约、香港及孟买均设有分支机构，兼具深刻的本地洞察与长期趋势的全球视野。Shikhara Capital 坚持立足全局的投资理念，致力于成为亚洲及新兴市场股票领域投资者的首选合作伙伴。为实现这一愿景，公司依托全球团队的深厚专业积淀，深入挖掘信息不对称与动态变化中的投资机遇。其投资模式以自下而上的基本面研究和长期投资为核心，通过在经济周期中实施战略配置，旨在识别并把握多元化的增长机遇。</t>
  </si>
  <si>
    <t>Marcus Chu（高级投资董事）</t>
  </si>
  <si>
    <t>顶石</t>
  </si>
  <si>
    <t>Capstone Capital</t>
  </si>
  <si>
    <t>董丰侨（高级分析师）
Eva Wang（分析师）</t>
  </si>
  <si>
    <t>深圳资本国际</t>
  </si>
  <si>
    <t>Shenzhen Capital</t>
  </si>
  <si>
    <t>政府基金</t>
  </si>
  <si>
    <t>Kevin Li（董事）</t>
  </si>
  <si>
    <t>润晖</t>
  </si>
  <si>
    <t>CITIC Prop</t>
  </si>
  <si>
    <t>三一重工、紫金黄金、劲方医药-B</t>
  </si>
  <si>
    <t>中国一重、绿都集团、国氢科技、赣能股份</t>
  </si>
  <si>
    <t>北京市朝阳区亮马桥路48号中信证券大厦（麦子店街）</t>
  </si>
  <si>
    <t>7,170亿人民币</t>
  </si>
  <si>
    <t>投资人在重工与新能源领域有较多投资经验，对公司业务模式较为了解，主要关注公司业务发展进展以及欧洲风电市场未来发展，内部决策流程相对比较快；目前投资人倾向于锚定投资</t>
  </si>
  <si>
    <t>经纬创投</t>
  </si>
  <si>
    <t>Matrix VC</t>
  </si>
  <si>
    <t>谢义平（合伙人）
熊子敬（副总裁）</t>
  </si>
  <si>
    <t>中新嘉善</t>
  </si>
  <si>
    <t>Jiashan Economic and Technological Development Zone</t>
  </si>
  <si>
    <t>中新嘉善现代产业园总规划面积约16.5平方公里，重点聚焦发展智能传感产业为核心的集成电路、半导体新兴产业。开园以来，累计签约项目97个，并与上海国家传感器创新中心、中科院上海微系统所等科创载体开展深度合作，聚力打造具有国际影响力，竞争力的“智能传感谷”。中新嘉善现代产业园由嘉善政府和中新集团合资共同建设。中新集团是由中国、新加坡两国政府于1994年合作设立，全称为中新苏州工业园区开发集团股份有限公司，为苏州工业园区开发建设做出了重大贡献。中新嘉善现代产业园基金管理规模为443亿人民币</t>
  </si>
  <si>
    <t>王亚辉（中新嘉善产业园管理委员会主任）
周俊（嘉善县中新产业发展投资有限公司副总经理） 
杨振宇（嘉善县国有资产投资集团有限公司负责人） 
冉莎莎（中新集团副处长） 
徐菲（中新集团经理）</t>
  </si>
  <si>
    <t>陈修竹（基金经理）</t>
  </si>
  <si>
    <t>粤民投基金</t>
  </si>
  <si>
    <t>Gortune Investment Private Equity Fund</t>
  </si>
  <si>
    <t>安佟亮（基金经理）</t>
  </si>
  <si>
    <t>软银亚洲</t>
  </si>
  <si>
    <t>SoftBank Venture Asia</t>
  </si>
  <si>
    <t>Kevin（董事总经理）
Jason Ding（合伙人）
Frank Li（合伙人）</t>
  </si>
  <si>
    <t>正心谷</t>
  </si>
  <si>
    <t>Loyal Valley Capital</t>
  </si>
  <si>
    <t>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t>
  </si>
  <si>
    <t>维立志博-B</t>
  </si>
  <si>
    <t>陈晓宇（董事总经理）</t>
  </si>
  <si>
    <t>AP China</t>
  </si>
  <si>
    <t>杨森（合伙人）</t>
  </si>
  <si>
    <t>前海开源基金</t>
  </si>
  <si>
    <t>First Seafront Fund</t>
  </si>
  <si>
    <t>薛晋伟（副总监）
黄傲雪（投资部研究员）</t>
  </si>
  <si>
    <t>益安资本</t>
  </si>
  <si>
    <t>Yian Capital</t>
  </si>
  <si>
    <t>韩立萍（总裁）
普乐清（基金经理）</t>
  </si>
  <si>
    <t>青岛鹿秀</t>
  </si>
  <si>
    <t>RoadShow Investment</t>
  </si>
  <si>
    <t>幺博（董事长）
胡帅（投资经理）</t>
  </si>
  <si>
    <t>中信建投自营</t>
  </si>
  <si>
    <t>China Securities</t>
  </si>
  <si>
    <t>券商自营</t>
  </si>
  <si>
    <t>梁昌支（高级副总裁）
张咏梅（高级副总裁）</t>
  </si>
  <si>
    <t>约4,949亿人民币</t>
  </si>
  <si>
    <t>睿郡资产</t>
  </si>
  <si>
    <t>Wisdomshire Asset</t>
  </si>
  <si>
    <t>顺丰控股</t>
  </si>
  <si>
    <t>沈晓源（研究副总监）
刘力（研究员）</t>
  </si>
  <si>
    <t>万家基金</t>
  </si>
  <si>
    <t>Wanjia AM</t>
  </si>
  <si>
    <t>刘林峰（基金经理）
耿家洲（基金经理）
汪洋（基金经理）
雷佳寅（研究员）</t>
  </si>
  <si>
    <t>华泰柏瑞</t>
  </si>
  <si>
    <t>Huatai-Pinebridge Fund</t>
  </si>
  <si>
    <t>董辰（基金经理）
林浩祥（基金经理）
方玮（基金经理）
何琦（基金经理）
丁续（化工研究员）</t>
  </si>
  <si>
    <t>中欧基金</t>
  </si>
  <si>
    <t>Zhong Ou AM</t>
  </si>
  <si>
    <t>张聪（基金经理QDII）
王习（基金经理/周期研究组长）
息荣雪（化工研究员）</t>
  </si>
  <si>
    <t>700亿美金</t>
  </si>
  <si>
    <t>交银施罗德</t>
  </si>
  <si>
    <t>BOCOM Schroders</t>
  </si>
  <si>
    <t>周珊珊（基金经理）
封晴（基金经理）
张明晓（化工研究员）</t>
  </si>
  <si>
    <t>迎水投资</t>
  </si>
  <si>
    <t>Yingshui Investment</t>
  </si>
  <si>
    <t>熊偲沂（投资经理）
琚弘毅（研究员）
黄昊（研究员）</t>
  </si>
  <si>
    <t>国泰海通</t>
  </si>
  <si>
    <t>Guotai Haitong</t>
  </si>
  <si>
    <t>肖钢（交易总监）
陈绎润（研究员）
林胡稷（研究员）</t>
  </si>
  <si>
    <t>华泰自营</t>
  </si>
  <si>
    <t>范蒙卓 （投资经理）</t>
  </si>
  <si>
    <t>洪波（Chairman）</t>
  </si>
  <si>
    <t>山东国信</t>
  </si>
  <si>
    <t>张家港金茂</t>
  </si>
  <si>
    <t>钱宇超(总经理)</t>
  </si>
  <si>
    <t>吉利汽车</t>
  </si>
  <si>
    <t>Microsoft YaHei UI</t>
  </si>
  <si>
    <t>赵旸（投资与资本市场负责人）</t>
  </si>
  <si>
    <t>富邦投信</t>
  </si>
  <si>
    <t>杨惠元（基金管理部副总经理）</t>
  </si>
  <si>
    <t>Kinson Wong（基金经理）</t>
  </si>
  <si>
    <t>大成国际资管</t>
  </si>
  <si>
    <t>Dacheng International AM</t>
  </si>
  <si>
    <t>林振辉（首席投资官）</t>
  </si>
  <si>
    <t>龙晟（投资总监）</t>
  </si>
  <si>
    <t>Springs Capital</t>
  </si>
  <si>
    <t>曹阳（研究主管）
房畅坤（TMT投资经理）</t>
  </si>
  <si>
    <t>瓴仁投资</t>
  </si>
  <si>
    <t>彭景环（副总裁）</t>
  </si>
  <si>
    <t>洪泰创投</t>
  </si>
  <si>
    <t>众淼控股、银诺医药、荃信生物、易点云</t>
  </si>
  <si>
    <t>施程亮（副总经理）</t>
  </si>
  <si>
    <t>荣盛创投</t>
  </si>
  <si>
    <t>Rongsheng Venture Capital</t>
  </si>
  <si>
    <t>渤海银行</t>
  </si>
  <si>
    <t>郑凌坤（港股投资经理）</t>
  </si>
  <si>
    <t>项飞（投资总监）</t>
  </si>
  <si>
    <t>上海德汇</t>
  </si>
  <si>
    <t>李潭清（研发部副总经理）
丁一宸（研发部研究员）
陈宇琪（研发部总经理助理）</t>
  </si>
  <si>
    <t>上海顶天投资</t>
  </si>
  <si>
    <t>李胜敏（总经理）</t>
  </si>
  <si>
    <t>偕沣资管</t>
  </si>
  <si>
    <t>裴管铖（投资总监）
易智娴（投资助理）</t>
  </si>
  <si>
    <t>WT资管</t>
  </si>
  <si>
    <t>金科服务、科济药业、鹰瞳科技、雍禾医疗、顺丰控股、宁德时代、禾赛</t>
  </si>
  <si>
    <t>闫永清（投资经理）</t>
  </si>
  <si>
    <t>铁建装备</t>
  </si>
  <si>
    <t>阿波罗资管公司</t>
  </si>
  <si>
    <t>Celine Ji（创始人）</t>
  </si>
  <si>
    <t>青岛英轩</t>
  </si>
  <si>
    <t>企业家办</t>
  </si>
  <si>
    <t>关忠科（投资总监）</t>
  </si>
  <si>
    <t>Allegiance Fund</t>
  </si>
  <si>
    <t>韩立萍（总经理）、房仕骏（投资总监）</t>
  </si>
  <si>
    <t>申万宏源证券</t>
  </si>
  <si>
    <t>Shenwan Hongyuan Securities</t>
  </si>
  <si>
    <t>浙商银行</t>
  </si>
  <si>
    <t>陈楚瑶（证券投资总部投资经理）</t>
  </si>
  <si>
    <t>明毅基金</t>
  </si>
  <si>
    <t>Mingyi Fund</t>
  </si>
  <si>
    <t>郭梦婕（基金经理）何娟（研究员）</t>
  </si>
  <si>
    <t>物产中大</t>
  </si>
  <si>
    <t>陈凯峰（投资总监）</t>
  </si>
  <si>
    <t>Gil TaeHo（中国区负责人）、王亦然（投资经理）</t>
  </si>
  <si>
    <t>重阳资本</t>
  </si>
  <si>
    <t>方溢涵（基金经理）</t>
  </si>
  <si>
    <t>AIHC</t>
  </si>
  <si>
    <t>康方生物-B、沛嘉医疗-B、归创通桥- B、腾盛博药- B、和誉-B</t>
  </si>
  <si>
    <t>张威 （首席投资官）</t>
  </si>
  <si>
    <t>里思基金</t>
  </si>
  <si>
    <t>梅蕴哲（研究员）</t>
  </si>
  <si>
    <t>2026年1月23日</t>
  </si>
  <si>
    <t>奥博资本</t>
  </si>
  <si>
    <t>OrbiMed</t>
  </si>
  <si>
    <t>医疗行业专家</t>
  </si>
  <si>
    <t>康方生物-B、沛嘉医疗-B、维立志博-B、三叶草生物-B、鹰瞳科技-B、嘉和生物-B</t>
  </si>
  <si>
    <t>赵桂玉（副总裁）</t>
  </si>
  <si>
    <t>GEM</t>
  </si>
  <si>
    <t>D.E. Shaw</t>
  </si>
  <si>
    <t>企业投资者</t>
  </si>
  <si>
    <t>新丰泰集团</t>
  </si>
  <si>
    <t>何丹（投资总监）</t>
  </si>
  <si>
    <t>Carmignac</t>
  </si>
  <si>
    <t>Bao Yunfan（基金经理）</t>
  </si>
  <si>
    <t>Polar Capital</t>
  </si>
  <si>
    <t>Jerry Wu（基金经理）</t>
  </si>
  <si>
    <t>朴雨（创始人）、王强（副董事长）、Cloud Zhang（首席投资官）</t>
  </si>
  <si>
    <t>Kenneth Tang（基金经理）</t>
  </si>
  <si>
    <t>Avanda</t>
  </si>
  <si>
    <t>David Wang（权益分析师）</t>
  </si>
  <si>
    <t>Polunin</t>
  </si>
  <si>
    <t>Polunin成立于2001年，其投资理念基于市场运行呈现周期性规律。Polunin通过精准识别并利用市场周期，旨在创造显著超额收益，同时增强投资组合的分散化效益。其投资策略是在周期关键时点进行逆向布局，重点配置被市场低估或忽视的行业，从而构建一个高度分散、相对同业存在折价的优质公司组合。Polunin致力于为现有客户创造优异业绩，而非追求资产管理规模的扩张。</t>
  </si>
  <si>
    <t>Huang Jing（基金经理）</t>
  </si>
  <si>
    <t>Redient Capital</t>
  </si>
  <si>
    <t>Kathy Kang (董事总经理）</t>
  </si>
  <si>
    <t>未有公开披露</t>
  </si>
  <si>
    <t>Fiera Capital</t>
  </si>
  <si>
    <t>Hayden Kwan （基金经理）</t>
  </si>
  <si>
    <t>东方汇理</t>
  </si>
  <si>
    <t>Nicholas McConway（亚太区（除日本）股票负责人、基金经理）</t>
  </si>
  <si>
    <t>2.3万亿欧元</t>
  </si>
  <si>
    <t>海通国际资管</t>
  </si>
  <si>
    <t>Haitong AM</t>
  </si>
  <si>
    <t>依生生物、心通医疗、TCR2等</t>
  </si>
  <si>
    <t>Dr.Jessica Tian（执行董事）
Yiqin Wang（分析师）</t>
  </si>
  <si>
    <t>香港中环港景街 1 号国际金融中心一期 28 楼
New York Room</t>
  </si>
  <si>
    <t>逾6,900亿港元</t>
  </si>
  <si>
    <t>拾贝投资</t>
  </si>
  <si>
    <t>劲方医药、映恩生物-B、维立志博-B等</t>
  </si>
  <si>
    <t>沈威宇（医药研究员）</t>
  </si>
  <si>
    <t>真脉投资</t>
  </si>
  <si>
    <t>荃信生物、维眸生物、合源生物等</t>
  </si>
  <si>
    <t>Lisa Jiang（董事总经理）</t>
  </si>
  <si>
    <t>PAG</t>
  </si>
  <si>
    <t>太盟投资集团(PAG)拥有逾27年的历史，建立了亚太地区最具规模的多元化、多资产品种基金管理和投资平台，涵盖一级和二级市场、股权和债券、企业和资产融资等类别。依托其广泛的平台资源、敏锐的视角，PAG可在全球增长最快的亚太地区精准把握投资机会。PAG的专业团队扎根于亚太地区各重要市场，紧贴市场脉搏，具备有效的决策机制和承担本地风险的实力，更对场外的投资机会有深入洞察，同时建立了业界最高标准的风险管理、企业管理和透明决策机制。PAG在全球设立了15 个主要办事处，拥有370多名专业投资人士</t>
  </si>
  <si>
    <t>Kevin Felix Chan（基金经理）、Vivien Zheng（高级分析师）</t>
  </si>
  <si>
    <t>皇后大道东1号太古广场三座33楼</t>
  </si>
  <si>
    <t>施罗德资管</t>
  </si>
  <si>
    <t>英矽智能、赛力斯、紫金黄金国际、三花智控</t>
  </si>
  <si>
    <t>华凯资本</t>
  </si>
  <si>
    <t>李准（基金经理）</t>
  </si>
  <si>
    <t>FMR</t>
  </si>
  <si>
    <t>紫金黄金国际、医脉通、归创通桥-B、联易融科技-W</t>
  </si>
  <si>
    <t>宇通客车、比亚迪、理想、小鹏</t>
  </si>
  <si>
    <t>中环港景街1号国际金融中心一期38楼</t>
  </si>
  <si>
    <t>7,676亿美元</t>
  </si>
  <si>
    <t>天津港</t>
  </si>
  <si>
    <t>Tianjin Port Group</t>
  </si>
  <si>
    <t>德翔海运</t>
  </si>
  <si>
    <t>Susan Ma（副总经理）
Eva Tsang（投资者关系经理助理）</t>
  </si>
  <si>
    <t>铜锣湾勿地臣街1号时代广场二座39楼3904-3907室</t>
  </si>
  <si>
    <t>国惠香港</t>
  </si>
  <si>
    <t>山东重工、凌云股份、广东鸿图、建设工业</t>
  </si>
  <si>
    <t>吕海涛（总经理）
许韧敏（首席投资官）
周楚冉（投资助理）</t>
  </si>
  <si>
    <t>东源投资</t>
  </si>
  <si>
    <t>中曼石油、伊戈尔、宇环智能装备、玲珑轮胎</t>
  </si>
  <si>
    <t>周霄（投资总监）
张家豪（投资经理）</t>
  </si>
  <si>
    <t>北京市朝阳区阜通东大街望京远洋万和公馆</t>
  </si>
  <si>
    <t>投资人较为青睐公司的稳定业务，对重型工业制造业有多次投资记录，主要关注公司业务模式与财务情况，决策流程扁平，最终投资决策会很迅速</t>
  </si>
  <si>
    <t>海通国际私募股权部</t>
  </si>
  <si>
    <t>Haitong International</t>
  </si>
  <si>
    <t>刘熹薇（高级分析员）</t>
  </si>
  <si>
    <t>Davidson Kempner</t>
  </si>
  <si>
    <t>Davidson Kempner的多元化、灵活投资平台，构筑于逾40年的卓越行业积淀之上。该机构依托多维度、研究驱动型投资流程，针对跨资产类别、地域及市场周期的各类交易开展评估与执行工作。其聚焦全球范围内的复杂投资场景，凭借自身经验与专业能力发掘潜在价值，依托在机会型投资与困境投资领域的深厚积淀，寻找被低估或被忽视的价值标的，不仅决策高效敏捷，更在各类投资策略的落地中秉持坚定立场。过往基石投资案例包括IMAX中国等。</t>
  </si>
  <si>
    <t>IMAX中国</t>
  </si>
  <si>
    <t>Clint Chow（ECM 负责人）</t>
  </si>
  <si>
    <t>435亿美元</t>
  </si>
  <si>
    <t>NCI</t>
  </si>
  <si>
    <t>余文俊 (研究主管)</t>
  </si>
  <si>
    <t>香港中环金融街 8
号国际金融中心
二期 27 楼</t>
  </si>
  <si>
    <t>近1.9 万亿人民币</t>
  </si>
  <si>
    <t>中粮</t>
  </si>
  <si>
    <t>COFCO</t>
  </si>
  <si>
    <t>宋亮(基金经理)</t>
  </si>
  <si>
    <t>Charles Cartledge（基金经理）</t>
  </si>
  <si>
    <t>中国投资</t>
  </si>
  <si>
    <t>CIC</t>
  </si>
  <si>
    <t>Andy Scott
（亚太资本市场负责人，基金经理）
Dave Yin
（投资分析师）</t>
  </si>
  <si>
    <t>MS Prop</t>
  </si>
  <si>
    <t>Vivo Capitial</t>
  </si>
  <si>
    <t>Craft Investment</t>
  </si>
  <si>
    <t>Craft Investment创立于2013，公司的创始人拥有在国际顶级投资银行、高净值客户顾问、全球市场以及投资银行及并购领域的丰富经验。公司结合房地产领域的专业人士，为客户提供真正符合其需求的专业服务。公司提供的服务包括研究、投资顾问及代理服务、房地产、并购顾问以及咨询服务，重点覆盖亚太地区（包括日本），并提供线上及按需服务</t>
  </si>
  <si>
    <t>广西国投</t>
  </si>
  <si>
    <t>SDIC Guang Xi</t>
  </si>
  <si>
    <t>政府平台</t>
  </si>
  <si>
    <t>金融街8号国际金融中心二期17楼</t>
  </si>
  <si>
    <t>超1万亿美元</t>
  </si>
  <si>
    <t>量派</t>
  </si>
  <si>
    <t>QuantPi</t>
  </si>
  <si>
    <t>国寿股权</t>
  </si>
  <si>
    <t>China Life PE</t>
  </si>
  <si>
    <t> 私募股权</t>
  </si>
  <si>
    <t>申万宏源</t>
  </si>
  <si>
    <t>1.4万亿人民币</t>
  </si>
  <si>
    <t>金浦投资</t>
  </si>
  <si>
    <t>GP Capital</t>
  </si>
  <si>
    <t>国富氢能、德业股份、上飞飞机、长远锂科等</t>
  </si>
  <si>
    <t>陈胤（董事总经理）、王影（基金管理部副总经理）、朱谷（执行总经理）、瞿之依（业务董事）、郑喆（法务高级经理）</t>
  </si>
  <si>
    <t>逾600亿元人民币</t>
  </si>
  <si>
    <t>光远投资</t>
  </si>
  <si>
    <t>铂陆帝、逸动科技、赛科动力等</t>
  </si>
  <si>
    <t>120亿元人民币</t>
  </si>
  <si>
    <t>修远资本</t>
  </si>
  <si>
    <t>ACCF Capital</t>
  </si>
  <si>
    <t>未公开披露</t>
  </si>
  <si>
    <t>工银瑞信</t>
  </si>
  <si>
    <t>ICBCUBS</t>
  </si>
  <si>
    <t>陆杨（投资经理）</t>
  </si>
  <si>
    <t>CMC资本</t>
  </si>
  <si>
    <t>CMC Capital</t>
  </si>
  <si>
    <t>兆易创新、澜起科技、飞速创新、广合科技、大族数控、乐舒适、三一重工、广和通、中伟新材、金浔资源、林清轩</t>
  </si>
  <si>
    <t>王泽琛 （投资经理）</t>
  </si>
  <si>
    <t>超40亿美元</t>
  </si>
  <si>
    <t>华丰资管</t>
  </si>
  <si>
    <t>晶泰科技、明略科技、赤峰黄金、紫金矿业、金浔资源等</t>
  </si>
  <si>
    <t>Cheah Capital</t>
  </si>
  <si>
    <t>Cheah Capital成立于2010年，是一家总部设于中国香港的全资私人单一家族办公室，核心使命为家族资产的管理与保值，2021年拓展至新加坡，依托创始人的马来西亚背景，在槟城、吉隆坡亦有布局。公司深耕大中华区市场，同时实现全球各资产类别、各行业的多元化投资，以经典价值投资为核心，迭代发展为“优质”价值投资理念，秉持客观全面的投资决策视角，依据客户需求筛选标的</t>
  </si>
  <si>
    <t>Feng Xin
（基金经理）</t>
  </si>
  <si>
    <t>超14亿美元</t>
  </si>
  <si>
    <t>Singapore:
16F, Twenty Anson, 20 Anson Road, Singapore 079912</t>
  </si>
  <si>
    <t>Hudson River Trading</t>
  </si>
  <si>
    <t>Hudson River Trading是一家成立于2002年、总部位于纽约的全球性量化交易与做市商。HRT由一群来自哈佛和MIT、拥有计算机科学和数学背景的合伙人创办，创始之初便希望通过技术手段彻底改变当时由人工主导的交易市场。经过二十余年的发展，HRT已从最初的美国股票市场拓展至全球几乎所有电子交易市场，并成长为与简街（Jane Street）、城堡证券（Citadel Securities）齐名的华尔街顶级量化交易机构</t>
  </si>
  <si>
    <t>Toh Zhen Zhou（基金经理）</t>
  </si>
  <si>
    <t>超12亿美元</t>
  </si>
  <si>
    <t/>
  </si>
  <si>
    <t>Investor_CN</t>
  </si>
  <si>
    <t>Investor_EN</t>
  </si>
  <si>
    <t>Type2.1</t>
  </si>
  <si>
    <t>Type2.2</t>
  </si>
  <si>
    <t>Type2.3</t>
  </si>
  <si>
    <t>Type3.1</t>
  </si>
  <si>
    <t>Type3.2</t>
  </si>
  <si>
    <t>Type3.3</t>
  </si>
  <si>
    <t>Type4.1</t>
  </si>
  <si>
    <t>Type4.2</t>
  </si>
  <si>
    <t>Type4.3</t>
  </si>
  <si>
    <t>Investor_CN/EN</t>
  </si>
  <si>
    <t>Cornerstone</t>
  </si>
  <si>
    <t>未进行</t>
  </si>
  <si>
    <t>已结束</t>
  </si>
  <si>
    <t>投资者名称_中文</t>
  </si>
  <si>
    <t>投资者名称_英文</t>
  </si>
  <si>
    <t>排序</t>
  </si>
  <si>
    <t>路演日期</t>
  </si>
  <si>
    <t>会议地点</t>
  </si>
  <si>
    <t>会议地址</t>
  </si>
  <si>
    <t>会议类型</t>
  </si>
  <si>
    <t>状态</t>
  </si>
  <si>
    <t>投资者出席人</t>
  </si>
  <si>
    <t>现场反馈</t>
  </si>
  <si>
    <t>下一步工作计划</t>
  </si>
  <si>
    <t>意向订单</t>
  </si>
  <si>
    <t>备注</t>
  </si>
  <si>
    <t>Amundi</t>
  </si>
  <si>
    <t>D1Type1.1</t>
  </si>
  <si>
    <t>D2Type1.1</t>
  </si>
  <si>
    <t>D3Type1.1</t>
  </si>
  <si>
    <t>D4Type1.1</t>
  </si>
  <si>
    <t>1x1
中文</t>
  </si>
  <si>
    <t>D1Type2.1</t>
  </si>
  <si>
    <t>D1Type3.1</t>
  </si>
  <si>
    <t>D1Type4.1</t>
  </si>
  <si>
    <t>D1Type5.1</t>
  </si>
  <si>
    <t>D1Type6.1</t>
  </si>
  <si>
    <t>D2Type2.1</t>
  </si>
  <si>
    <t>D2Type3.1</t>
  </si>
  <si>
    <t>D2Type4.1</t>
  </si>
  <si>
    <t>D2Type5.1</t>
  </si>
  <si>
    <t>D2Type6.1</t>
  </si>
  <si>
    <t>D3Type2.1</t>
  </si>
  <si>
    <t>D3Type3.1</t>
  </si>
  <si>
    <t>D3Type4.1</t>
  </si>
  <si>
    <t>D3Type5.1</t>
  </si>
  <si>
    <t>D3Type6.1</t>
  </si>
  <si>
    <t>D4Type2.1</t>
  </si>
  <si>
    <t>D4Type3.1</t>
  </si>
  <si>
    <t>D4Type4.1</t>
  </si>
  <si>
    <t>D4Type5.1</t>
  </si>
  <si>
    <t>D4Type6.1</t>
  </si>
  <si>
    <t>RWC</t>
  </si>
  <si>
    <t>其他意向</t>
  </si>
  <si>
    <r>
      <rPr>
        <sz val="10"/>
        <color theme="1"/>
        <rFont val="Arial"/>
        <family val="2"/>
      </rPr>
      <t xml:space="preserve">CMS </t>
    </r>
    <r>
      <rPr>
        <sz val="10"/>
        <color theme="1"/>
        <rFont val="KaiTi"/>
        <charset val="134"/>
      </rPr>
      <t>对接部门</t>
    </r>
  </si>
  <si>
    <t>Raw Feedback</t>
  </si>
  <si>
    <t>腾讯</t>
  </si>
  <si>
    <t>AM Squared</t>
  </si>
  <si>
    <t>Baillie Gifford</t>
  </si>
  <si>
    <t>BOCOM Insurance AM</t>
  </si>
  <si>
    <t>博克希尔全球管理（Burkehill）是一家总部位于纽约的对冲基金管理机构，成立于2021年7月，专注于全球股票事件驱动策略。该公司以捕捉企业并购、重组、分拆等特殊事件机会为核心投资逻辑，通过多空结合的风险对冲手段，结合基本面分析与量化模型，追求与市场低相关性的稳定收益。管理的可自由支配资产总额为25.20亿美元。2025年第一季度提交的最新13F报告显示，其管理的13F证券总额为13.44亿美元</t>
  </si>
  <si>
    <t>Capital International</t>
  </si>
  <si>
    <t>Catalyst</t>
  </si>
  <si>
    <t>Catalyst是一家投资于高增长科技公司的成长型股票公司。Catalyst成立于1999年，采用积极的、基于研究的方法来识别新兴的市场趋势，并与世界一流的管理团队和公司合作利用这些趋势，创造长期价值。公司专注市场空间明确、处于初创向规模化转型关键节点的企业。重点关注SaaS、AI、互联网基础设施、消费等领域。</t>
  </si>
  <si>
    <t>中国守正基金（China Alpha）是一家在于2002年在香港成立的高增长资金管理公司，主要专注投资大中华地区及中国概念的股票。该基金由创始人及多年来扩大的同一投资团队管理，客户为专业投资者，包括机构投资者及个别高资产值投资者。截至2023年底在管资产规模达149.47亿元</t>
  </si>
  <si>
    <t>中国东方（China Orient）成立于1999年10月，是财政部直属的国有金融资产管理公司。公司以“化解金融风险、服务实体经济、助推国企改革”为核心使命，专注于特殊机遇资产投资、价值修复与重组重整。依托国家股东背景及专业优势，中国东方深耕不良资产经营主业，并积极拓展债转股、市场化债转股资产处置、企业重组及股权投资等业务，致力于通过长期价值挖掘赋能企业重生与产业升级。其投资活动广泛涉及国民经济重要领域，尤其在金融、地产、能源、制造业等国企改制相关领域拥有丰富经验。截至2024年末，公司管理资产规模达人民币13,186亿元。</t>
  </si>
  <si>
    <t>China Investment</t>
  </si>
  <si>
    <t>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t>
  </si>
  <si>
    <t>奇点（Cloudalpha）是香港顶级多策略基金之一，管理着一支专注于大中华区的全球 TMT 多空股票基金，该基金以深入的基本面研究为基础。投资方法依赖于系统性、深入的专有研究，结合自上而下的行业价值链分析和自下而上的公司研究。投资于全球科技大趋势核心子行业的颠覆性领军企业。公司通过分析世界上的金融变动事件来寻找市场可能会面临的冲击和机遇，近期对于TMT及新经济领域上市公司持有浓厚兴趣</t>
  </si>
  <si>
    <t>源峰（CPE）是一家具有国际视野和丰富中国经验的资产管理机构，专注为科技与工业、医疗与健康、消费、基础设施等四大重点领域的龙头企业提供创新性的投资方案。目前，CPE源峰在管基金已获得海内外200多家机构投资者的信任与支持，累计资产管理规模超过1800亿元。在过去十余年投资超过300家企业，积累了深刻的行业洞察和广泛的资源网络。‌CPE源峰投资了多家知名企业，包括元气森林、小鹏汽车、纯米科技、华大智造、Oatly、毛戈平化妆品等。通过完善的投研体系和专业的投后管理能力，CPE源峰致力与被投企业建立长期合作伙伴关系，推动被投企业所处行业的整体发展，创造积极的社会影响。</t>
  </si>
  <si>
    <t>南方东英（CSOP）由内地公募基金公司设立的境外子公司。扎根香港十余载，南方东英凭借对ETF市场的深度洞察与生态化运营策略，成功实现行业突围，现已发展成为香港市场领先的ETF管理机构。其资产管理规模约为1,835亿港元。</t>
  </si>
  <si>
    <t>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t>
  </si>
  <si>
    <t>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t>
  </si>
  <si>
    <t>富达研究管理（Fidelity）是全球最大长线投资机构富达基金旗下核心平台，管理规模达15.0万亿美元。公司构建覆盖增长型、指数型、价值型及高收益策略的多元化基金矩阵，投资流程遵循自下而上的基本面研究范式，通过深度企业价值分析甄选优质标的。其投资组合横跨美国、加拿大、日本、香港、欧洲及全球新兴市场，实现跨区域资产配置。</t>
  </si>
  <si>
    <t>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t>
  </si>
  <si>
    <t>新加坡政府投资（GIC）是新加坡主权财富基金，采用长期价值投资策略，平均持有期10-20年。重点布局科技创新（AI/量子计算/生物科技）、绿色经济（可再生能源/循环经济）及新兴消费领域，ESG要素贯穿投资全流程。作为外资长线资本，其中国配置占亚太区超30%，聚焦消费升级与产业数字化。过往港股基石投资案例有三花智控、海天味业、恒瑞医药、医脉通、兆科眼科- B、诺辉健康-B、快手-W、心通医疗- B、华润万象生活、京东健康。目前，其资产管理规模为8,470亿美元</t>
  </si>
  <si>
    <t>旭松投资（Golden Pine Capital）是专注于大中华区股票多空策略的资产管理公司，2017年成立于香港，以价值投资为核心，通过深度基本面分析挖掘中国海内外上市公司的投资机会，服务涵盖帮助中国投资者布局海外市场及海外投资者进入中国市场。重点覆盖消费升级、科技创新及具有竞争优势的传统行业</t>
  </si>
  <si>
    <t>浩然资本（Hao Advisors Management）成立于2006年，是一家专注中国市场的私募股权基金管理公司，重点投资顺应经济发展方向、具备高增长潜力的医疗健康，轻工业和消费品三个领域。 公司设有香港、北京和昆明办公室，目前共管理四支基金，资产总规模逾6亿美元</t>
  </si>
  <si>
    <t>嘉实国际投资（HGCI）成立于2008年，是中国领先的资产管理集团嘉实基金的核心香港子公司及跨境投资枢纽。公司秉承嘉实基金基本面深度研究的传统，专注于全球范围内的长期资产配置与跨境投资机会。其主动管理策略覆盖多元资产类别，致力于在控制风险的前提下为投资者创造可持续的长期价值，并将ESG理念系统性整合于投资决策全流程，追求财务回报与社会福祉的协同发展。公司资产管理规模达1,210亿美元。</t>
  </si>
  <si>
    <t>高瓴资本（Hillhouse）是一家专注于长期结构性价值投资的公司，由张磊先生于2003年创立于北京，目前已发展成为亚洲地区资产管理规模最大、业绩最优秀的投资基金之一。高瓴从创立之初就定位于做具有独立投资视角的长期投资者 ，利用从下至上的方法及大量数据分析进行企业基本面的研究。高瓴投资覆盖TMT、医疗健康、消费零售、企业服务和金融等领域，并且横跨股权投资的全部阶段</t>
  </si>
  <si>
    <t>IDG资本</t>
  </si>
  <si>
    <t>IDG Capital</t>
  </si>
  <si>
    <t>无极资本（Infini）是一家总部位于香港的多策略基金，公司关注新经济行业投资机会，投资策略依靠投资团队丰富的从业经验，基于基本面分析和自上而下的选择持股方法选择投资组合，投资风格兼顾宏观策略、事件驱动及传统股票的长、短仓投资。公司以自主交易为基础，致力于通过多元化、低相关性且高夏普比率的投资策略，为客户提供优质的风险调整后收益。公司秉持严谨的投资理念，融合创新思维、严格的风险管理体系及先进的技术基础设施，以驾驭复杂多变的市场环境。公司坚持以长期合作伙伴关系为核心，通过跨资产类别的投资布局，与客户目标深度协同，实现可持续价值创造。资产管理规模为20亿美元</t>
  </si>
  <si>
    <t>Invesco Advisers</t>
  </si>
  <si>
    <t>益尚资本（Ishana）是一家专注于亚洲新兴市场的长线基金，总部位于香港，通常投资期限为 3 至 10 年，偏好投资于由杰出管理团队领导、具有长期、可持续增长赛道的企业</t>
  </si>
  <si>
    <t>Janchor Partners</t>
  </si>
  <si>
    <t>建峖实业投资（Janchor Partners）是一家总部位于香港的对冲基金管理公司。Janchor Partners管理Janchor Partners泛亚基金。公司基于自下而上的研究，与具有卓越商业模式、良好增长前景以及有可能成为亚洲国家和经济体的社会转型变化和长期发展趋势的引领者的公司合作。公司近年来资产回报率均在全球范围内处于领先位置</t>
  </si>
  <si>
    <t>Jump Trading成立于 1999年，是一家专注于算法交易和高频交易策略的专营交易公司，活跃于全球期货、期权、加密货币和股票市场。研究人员、工程师和交易员并肩工作，将想法从概念转化为实际产品，兼具科学思维和快速、专注的迭代效率。公司的机器学习和人工智能专家直接与交易团队合作，专注于特定市场。Jump Trading积极关注港股市场投资机会，近期频繁参与A to H上市项目的基石投资，其重点布局领域包括消费与 TMT 赛道。</t>
  </si>
  <si>
    <t>Keystone</t>
  </si>
  <si>
    <t>Keystone是一家总部位于新加坡的对冲基金公司，利用基础研究投资于各个行业和国家的股票。成立于2022年左右。该公司采用股票多空策略，近年来资产规模迅速增长，截至2024年7月已达到26亿美元，并计划将上限设定为30亿美元</t>
  </si>
  <si>
    <t>LMR是一家成立于2009年的对冲基金，在伦敦、纽约和香港均设有办公室。基金对潜在投资公司的研究包括自下而上选股、自上而下风险控制以及对公司基本面的深度分析，致力于发掘中长期回报确定性强的优质股票。其资产管理规模为110亿美元</t>
  </si>
  <si>
    <t>千禧资本（Millennium Capital）是全球领先的多策略对冲基金平台，隶属于Millennium Management集团，总部位于纽约，以跨市场、多策略协同为核心竞争力，通过相对价值、事件驱动、股票套利、固定收益及大宗商品等多元化策略组合实现风险分散与收益优化。千禧资本致力于识别并合作那些在全球市场中应对复杂情况、增长或转型的企业。公司长期关注亚洲股票市场，并看好中国市场的长远发展，持有众多中国企业股权资产，投资覆盖各大行业。目前，其资产管理规模达770亿美元以上</t>
  </si>
  <si>
    <t>摩根士丹利投资管理</t>
  </si>
  <si>
    <t>Nikko</t>
  </si>
  <si>
    <t>North Rock成立于2013年，是Lighthouse灯塔投资的全资子公司。North Rock采用多基金经理（Multi-manager）模式，覆盖基本面股票多空策略和系统性股票相对价值策略。其主要寻求与在特定证券领域拥有丰富经验的行业和区域专家合作，利用这种专业化和专注性追求长期可持续的超额收益。目前组合共有49个投资团队，投资经理平均从业年限14年。North Rock的重点是利用和管理PM团队的综合实力，通过特异性风险实现高质量回报，并且对市场方向的依赖性较低。自2013年3月策略启动以来，North Rock的管理资产已增长至约49亿美元，涵盖60多个基础PM团队。</t>
  </si>
  <si>
    <t>Oasis Management</t>
  </si>
  <si>
    <t>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t>
  </si>
  <si>
    <t>欧万达基金（Ovata）是一家总部位于香港的股票多策略对冲基金管理公司，成立于2017年，专注亚洲股票市场，采用多策略投资，包括套利、相对价值、事件驱动和多空头策略，通过融合自主决策与量化投资流程，结合跨时间维度和地域配置，构建稳健且高度多元化的投资业务体系，CPPIB是Ovata Capital的早期种子投资人之一。公司最近在大中华区公司的首次公开募股中非常活跃，重点关注科技行业标的。同时，Ovata Capital在加密资产投资领域表现活跃，是少数重仓比特币现货ETF的亚洲资产管理公司之一。其投资行为反映了传统金融机构对加密资产的关注度提升。</t>
  </si>
  <si>
    <t>中庸资本（Optimas Capital）是香港/亚洲活跃的多策略基金之一，由前美银美林和瑞信股票销售和研究部门前主管团队搭建团队建立，是新晋的港股资本市场主要参与者之一。中庸量化是专注于中国A股和其他亚洲股票并并采用尖端算法的量化基金。该基金致力于利用人工智能/机器学习和数据科学的力量，发掘市场中独特的投资机会。中庸资本合伙基金致力于投资具备高成长性和先进技术的早期项目。基金密切关注全球高科技制造领域的投资机会</t>
  </si>
  <si>
    <t>欧力士</t>
  </si>
  <si>
    <t>Perseverance AM</t>
  </si>
  <si>
    <t>中国人保（PICC）创立于1949年，现为综合性保险金融集团。作为国有金融央企，集团秉持“人民保险 服务人民”使命。旗下拥有人保财险、人保寿险、人保资产等11家子公司，业务覆盖财产险、人身险、再保险、资产管理及保险科技领域。重点支持国家战略区域及重大基础设施项目，同时布局另类投资以追求风险可控的绝对收益</t>
  </si>
  <si>
    <t>柏瑞投资（PineBridge）是一家全球性资产管理机构，截至2025年3月31日管理资产规模达1,889亿美元。公司前身为AIG旗下资产管理业务，2010年独立运营后承袭数十年跨市场投资经验，覆盖成熟与新兴市场的传统及另类资产领域。其全球化投资团队通过融合深度基本面研究与本地化市场洞察，构建多维决策优势，持续赋能组合管理效能。</t>
  </si>
  <si>
    <t>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t>
  </si>
  <si>
    <t>Vega Proprietary Holdings是一家成立于2011年的全球多策略投资平台，专责管理历史可追溯至1940年代的家族永续资本。依托75年跨周期产业积淀（涵盖消费零售、地产开发、医疗健康及大宗贸易等多元领域），VPH构建覆盖全资本结构的投资能力：在直接投资维度，横跨优先担保债务至成长型股权；在间接投资维度，遴选顶级GP合作伙伴布局私募股权、风险投资及对冲基金。凭借不受赎回约束的永久资本优势，公司专注长期价值创造，在严格资本保全前提下捕捉非常规机遇，实现穿越周期的稳健回报。</t>
  </si>
  <si>
    <t>Principle Capital</t>
  </si>
  <si>
    <t>启明创投（Qiming）成立于2006年，是中国领先的风险投资机构之一，专注于科技、消费和医疗健康领域的早期和成长期投资。截止2024年08月，启明创投旗下管理11只美元基金，7只人民币基金，已募管理金额为95亿美元。</t>
  </si>
  <si>
    <t>荷宝（Rebeco）是一家拥有90年历史的国际资产管理公司，隶属荷兰ORIX Europe集团，自2008年以香港为亚太总部，并在上海、墨尔本、悉尼、东京设立办事处，深度布局亚洲这一核心增长市场。公司以量化投资和可持续投资（ESG）为专长。截止2024年12月，公司资产管理规模和咨询规模达2220亿美元。</t>
  </si>
  <si>
    <t>Schroders是一家具领导地位的国际专业资产管理集团。自1959年于伦敦证券交易所上市至今，施罗德是全球最大资产管理公司之一。目前，施罗德家族仍持有集团多数股份，巩固集团持有权的稳定性，以及提供全面性的产品及服务。资产管理规模为1万亿美元</t>
  </si>
  <si>
    <t>Seven Grand Managers是一家2019年成立的精品注册投资顾问（RIA），由资深核心团队直接管理资产，专注于为机构投资者与超高净值客户提供全权委托的资本市场投资解决方案。公司依托严谨的尽责管理框架，在公开市场证券、私募信贷及结构性衍生品领域实施主动配置，通过非对称市场准入与定制化组合构建，持续优化长期风险调整后收益</t>
  </si>
  <si>
    <t>径流资本（Stillbrook）是一家专注于大中华区的绝对回报多头股票基金，总部位于香港。公司专注于通过集中投资组合，长期投资于大中华区的优质成长型公司。资产总额为5亿美元</t>
  </si>
  <si>
    <t>淡马锡（Temasek）成立于1974年，是总部位于新加坡的国际投资公司，由新加坡政府财务部全资拥有，是新加坡规模最大的主权基金之一，资产管理规模达3,000亿美元，中国市场占其投资组合的22%。其对大中华区企业有浓厚兴趣，投资组合涵盖广泛的行业领域，包括TMT、消费等</t>
  </si>
  <si>
    <t>普信（T.Rowe Price）是全球知名长线基金，总部位于美国巴尔的摩。基金采取以基本面的增长为核心的投资风格，以长期的投资视野投资于各种市值规模的公司。普信集团在香港的办公室主要负责挖掘亚洲的投资机会。截至 2025 年 6 月 30 日管理的总资产为 1.68 万亿美元</t>
  </si>
  <si>
    <t>UG Investment成立于 1998 年，是由Eugene Wang及Richard Fan共同成立的多策略对冲基金。目前基金在台北、上海、新加坡均设有办公室，旗下掌管的7个基金，采用多策略投资体系（包括股票多空、套利等），专注于大中华区市场。资产管理规模为41亿美元</t>
  </si>
  <si>
    <t>惠理基金（Value Partners）成立于 1993 年，是亚洲最大的独立资产管理公司之一，集团总部位于香港，在上海、深圳、北京、吉隆坡、新加坡及伦敦均设有办事处，长期为全球机构及个人投资者提供专业服务，以价值投资为核心策略，重点关注大中华区及亚洲市场。管理资产 62 亿美元</t>
  </si>
  <si>
    <t>Verition成立于 2008 年，是一家多策略、由多位基金经理管理独立基金的对冲基金，资产管理规模为440亿美元。专注于全球投资策略，包括信贷、固定收益与宏观、可转债与波动套利、事件驱动、股票多空与资本市场、量化策略等。主要投资于一级半和二级股票市场，并代表著名的非牟利组织、大学捐赠基金、主权国家、公司养老金及家族财富管理公司管理资本
Verition成立于2008年，是一家多策略、由多位基金经理管理独立基金的对冲基金。Verition的股权和权益投资注重一二级联动，其中资本市场为纯做多策略，在被投企业的不同发展阶段持续支持，横跨私募股权、Pre-IPO、IPO、增发配售、可转债、大宗交易和二次上市。基金代表著名的非牟利组织、大学捐赠基金、主权国家、公司养老金及家族财富管理公司管理资本。
⎯ 龙浩现担任Verition的董事总经理，主管亚太区资本市场，此前曾于城堡基金（Citadel/Surveyor）担任亚太区资本市场部主管，曾于Redwheel、Somerset Capital和摩根大通担任资深投资分析师和资本市场项目主管，在资本市场拥有超过10年的经验。作为新加坡南洋理工大学、美国斯坦福商学院的校友，在新加坡南洋商学院的校友会担任理事，在斯坦福商学院的新加坡校友会担任会长。
⎯ 投资案例：参与礼邦医药、Meesho （印度版拼多多）等公司的私募投资，参与蓝思科技、三花智控等港股IPO基石投资。</t>
  </si>
  <si>
    <t>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t>
  </si>
  <si>
    <t>Weiss成立于2003年，总部设立在波士顿，在旧金山、纽约及香港也设有办公室。公司主要倾向于投资中等规模、拥有增长潜力的行业内一流企业。Weiss开发了专有价值导向的投资策略体系，主要依赖基本面研究和数据分析对潜在投资对象进行研究分析，资产管理规模约为40亿美元</t>
  </si>
  <si>
    <t>涌容资产（Yongrong）成立于2011年10月，深入研究各行业头部公司的商业规律，借助于中国迅速扩大的经济体量与市场规模，寻找最有价值的投资标的</t>
  </si>
  <si>
    <t>宝业</t>
  </si>
  <si>
    <t>常春藤（Ivy Capital）是一家成立于2007年的中国本土精品创投机构，总部位于上海，管理资产规模超60亿人民币。公司专注于企业服务、深度科技及新能源科技领域的早期投资，尤其聚焦长三角地区（超50%资金投向该区域），同时覆盖北京、广深及海外创新高地（如硅谷）</t>
  </si>
  <si>
    <t>大家</t>
  </si>
  <si>
    <t>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t>
  </si>
  <si>
    <t>国调基金/诚通/中国诚通（China State owned Enterprise Restructuring Fund）是国务院国有资产监督管理委员会监管的企业集团，系国资委首批中央企业规范董事会建设试点企业，同时也是服务中央企业布局结构调整与战略重组的核心资产经营平台，招商局、中国石化、中国移动等多家中央企业均为其股东。中国诚通聚焦战略新兴产业及新技术、新业态领域的领先企业开展重点投资布局。2016年，公司受国资委委托，作为主发起人发起设立国调基金。作为具有国资背景的专业投资机构，国调基金高度关注政策监管导向，偏好布局行业龙头企业，并依托自身优势，在监管关系协调、市场资源整合等方面为被投企业赋能，实现多方互惠共赢。2020年，中国诚通再度受国资委委托，牵头发起设立混改基金，该基金亦是国资委委托国有资本运营公司设立的第三只国家级基金</t>
  </si>
  <si>
    <t>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t>
  </si>
  <si>
    <t>红杉中国（Sequoia Capital）成立于2005年，始终致力于帮助创业者成就基业长青的伟大公司，为成员企业带来丰富的全球资源和宝贵的历史经验。作为“创业者背后的创业者”，红杉中国专注于科技、医疗、消费三个方向的投资机遇。自创立以来，红杉中国投资了超过1000家具有鲜明技术特征、创新商业模式、具备高成长性和高发展潜力的企业，其中130多家成员企业成为上市公司，超过100家非上市公司已发展成为独角兽企业</t>
  </si>
  <si>
    <t>华安基金成立于1998年，总部位于上海，是中国证监会批准成立的首批5家基金管理公司之一。公司秉承“以人为本，诚信守正，专业专注，追求卓越”的核心价值观，深耕中国资本市场，致力于成为最受投资者信赖的、具有全球资产配置能力的一流资产管理公司。目前。华安基金公募基金规模超6900亿元</t>
  </si>
  <si>
    <t>嘉实基金（Harvest Fund）成立于 1999年，现已发展为具有“全牌照”业务的综合性国际化资产管理集团，拥有近300人的投研团队。嘉实基金通过基本面研究寻找未来最好的行业和最好的公司，再通过投资去实现对于公司未来价值的创造和判断，重点关注科技、医药、消费、先进制造、大周期等最能代表中国经济发展方向的基本面研究。嘉实国际则是嘉实基金在海外的主要投资平台，主要关注内地以及香港的股权投资机会，专注于另类投资领域，其业务范围涵盖私募股权投资、房地产投资、基础设施投资等多个领域，嘉实基金各类资产管理规模超1.45万亿人民币。</t>
  </si>
  <si>
    <t>捷利交易宝（TradeGo）是香港领先的证券交易及金融科技服务商，为投资者提供港股、美股、A股 （沪深港通）等市场的在线交易服务。平台以低佣金、高效执行和智能工具为特色，支持PC端、移动 端及API交易，并融合实时行情、财经资讯与数据分析功能，助力个人及机构投资者把握全球市场机 遇。以自有基金专注港股IPO投资及港股通投资策略，主要投资市值小于30亿美元的中小规模上市公司， 聚焦医疗大健康、硬科技、大消费、新经济新技术等赛道。投资案例包括:英诺赛科、优必选、越疆 科技、讯飞医疗、博雷顿等</t>
  </si>
  <si>
    <t>南方基金（China Southern）成立于1998年，是中国首批规范的基金管理公司之一，也是中国“新基金时代”的起始标志。公司总部设在深圳，并在北京、上海、深圳、南京、成都、合肥设有分公司，在深圳和香港设有子公司。南方基金业务领域全面、经营业绩优秀、资产管理规模位居前列。公司管理公募基金共317只，产品涵盖股票型、混合型、债券型、货币型、指数型、QDII型、FOF型等，已发展成为产品种类丰富、业务领域全面、经营业绩优秀、资产管理规模位居前列的基金管理公司之一。南方基金资产管理规模约3400亿美元</t>
  </si>
  <si>
    <t>Pingan</t>
  </si>
  <si>
    <t>睿远基金（Foresight Fund）成立于2018年10月，是一家以价值投资、研究驱动和长期投资风格为主的长期价值投资机构，拥有经验丰富的投资团队，领先的行业专家型研究团队，秉承价值投资理念和长期投资理念，聚焦于权益投资和固定收益投资领域，为个人和机构投资者提供投资理财产品和服务。公司构建了涵盖混合型、债券型基金的多元产品线，代表产品睿远成长价值混合基金采取股票及存托凭证组合投资策略。</t>
  </si>
  <si>
    <t>软银</t>
  </si>
  <si>
    <t>软银（SoftBank）是日本跨国综合企业，是一家综合性的风险投资公司，主要致力于 IT产业的投资，包括网络和电信行业。软银的投资范围广泛，涉及多个领域和地区。其核心投资平台软银愿景基金（SoftBank Vision Fund）成立于2017年，是全球最大的科技投资基金之一</t>
  </si>
  <si>
    <t>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t>
  </si>
  <si>
    <t>通怡投资（Tongyi Investment）是一家专业的证券投资基金管理机构。公司于2016年8月在中国证券基金业协会登记备案，具有第三方投顾资格。公司专注于绝对收益投资策略，产品策略包括股票、转债、交债、量化、期权、收益互换等策略，匹配不同风险偏好。资产管理规模约为200亿人民币</t>
  </si>
  <si>
    <t>上海希瓦成立于2014年12月。公司核心团队有10年以上美国香港大陆三地市场投资经验，擅长股票以及各种金融衍生品操作。公司致力于在发展成一个给客户带来稳定回报的私募管理平台，研究覆盖半导体、消费医疗、新能源等领域。截至2023年1月31日，公司管理规模超90亿元。</t>
  </si>
  <si>
    <t>上海于翼成立于2016年2月25日，具备投资顾问资格。于翼资产拥有比较完整的投资研究、风险管理和运营团队。核心成员来自于国内大型基金公司以及知名证券研究机构，平均拥有10年以上资产管理行业从业经验。截至2021年1月底，于翼资产交易层基金规模约90亿元，投资策略涵盖股票多头以及宏观对冲。</t>
  </si>
  <si>
    <t>双城资本是一家主要专注于消费服务及相关领域的长线基金，由平均拥有逾十五年以上境内外资本市场投资经验的多位资深人士合伙组建，公司成员的过往经验全面覆盖境内外股票、固定收益、衍生产品与风险投资、私募股权投资等金融领域，公司主要专注于另类投资产品与各金融市场的制度性、结构性、套利性投资机会，以“环球视野、本土智慧”立足于国际资本市场，主要面向大中华区、欧洲及英国市场。过往主要代表性投资案例有：中国国家地理、网易云音乐、睿创微纳等。自2014年起，以基石身份参与港股IPO，代表性投资案例有：君实生物（1877 HK，基石投资，锁定期满至今未减持）、思考乐教育（1769 HK）、红星美凯龙（1528 HK）、中广核电力（1816 HK）、彩生活（1778 HK）等。</t>
  </si>
  <si>
    <t>四川璞信产融成立于2017年9月25日。公司由泸州老窖集团有限责任公司控股，主要从事投资与资产管理、股权投资、债券投资、企业并购等业务。2024年作为发起方参与设立总规模50亿元的泸州市壹期产业引导基金。截至2024年11月，公司管理规模为53亿人民币。截至2025年，公司对外投资企业达38家。</t>
  </si>
  <si>
    <t>新鸿基家办是新鸿基有限公司旗下专注于家族财富管理的服务平台，依托其多元化的另类投资策略和55年的金融行业经验，为超高净值客户及家族提供定制化的财富管理解决方案。该平台通过基金管理业务和战略合作伙伴关系，覆盖公开市场、私募股权、房地产及信贷等多元化资产类别。截至2024年底，其基金管理业务的资产管理规模（AUM）达到20亿美元</t>
  </si>
  <si>
    <t>易方达（Efund）是一家综合性资产管理公司。公司成立于2001年，依托资本市场，通过专业化运作，为境内外各类投资者提供综合性资产管理解决方案，实现长期可持续的投资回报，是国内最大的公募基金管理公司。公司投研体系多元，构建了主动权益、固收核心、指数工具及量化策略的四维投研体系。截至2025年6月底，易方达基金及下属机构资产管理规模4.1万亿人民币，服务广大个人投资者及社保基金、企业年金和职业年金、银行、保险公司、境外央行及养老金等机构投资者。</t>
  </si>
  <si>
    <t>翼虎投资（Flying Tiger）是一家专注于私募证券投资的专业资产管理公司，致力于为客户提供高效的投资解决方案和优质的资产配置服务。公司以价值投资理念为基础，重点关注创新药、新能源等板块的中长期投资机会。其核心团队具备券商、公募基金等多元化背景，平均从业经验超过20年。其资产规模约7亿美元。</t>
  </si>
  <si>
    <t>招商基金（China Merchants Fund）是中国第一家中外合资基金管理公司，资产管理规模超过1.56万亿元。公司的经营范围包括发起设立基金、基金管理业务和中国证监会批准的其它业务。经过二十余年的规范运作、稳健经营，招商基金在公募基金、社保基金、年金、养老金、QDII、特定客户资产管理等各个资产管理业务领域均取得了长足进展，成长为国内业务资质覆盖范围最广的基金管理公司之一。</t>
  </si>
  <si>
    <t>中再资产是中国再保险集团旗下专业保险资产管理机构，成立于2005年。专注保险资金及第三方资产的长期配置与风险管理，秉承稳健审慎的投资理念，实行科学化的配置管理模式，积极服务实体经济，发展绿色金融，深耕国内市场，推进全球布局</t>
  </si>
  <si>
    <t>智光投资由资金投资及在管外币基金规模约10亿港币。通过筛选聚焦在内房股/物业、TMT、新消费、高端制造业等细分领域头部公司，灵活运用各种投资策略为投资者创造稳定收益。管理团队拥有丰富的股权投资及投研能力、敏锐的风险机会识别能力，及优秀的资产配置能力，单一case投资规模500-3000万美金不等，投资案例包括康龙化成（HK：03759）、蓝光嘉宝服务（HK:02606）、银城生活服务 （01922）、建业新生活（09983）、移卡（HK:09923）、开拓医疗（HK： 09939）、华检医疗（HK：01931）、乐享互动（HK:06988）、医渡科技 （HK:02158）</t>
  </si>
  <si>
    <t>雅润投资（Yield Royal）是一家立足新加坡、深耕大中华区的专业多策略投资机构，秉持“产融结合”理念，专注长期价值投资。除总部新加坡以外，公司在亚太地区设有十余家分支机构，拥有150余名资深投资专家，他们的平均从业经验超过15年。目前资产管理规模逾5亿美元，以自有资金为主导。公司的核心业务涵盖供应链金融、债券投资、股权投资以及虚拟货币四大板块。在境外股权投资领域，公司专注港股、美股IPO全周期投资（Pre-IPO至上市后配售），重点布局高端制造、TMT、消费、生物医药及新能源等战略新兴产业。依托新加坡的区位优势，通过长期资本支持和资源整合，助力中国企业实现全球化发展。</t>
  </si>
  <si>
    <t>QIA</t>
  </si>
  <si>
    <t>泉观资本（Spring Gate Capital）是一家全球性资产管理公司，总部位于新加坡，秉承贯穿周期的价值投资理念，以敏锐的商业洞察力和严谨的资本配置为基础，通过基础研究和积极的投资组合管理，采用逆向思维，为长期投资者创造持久财富。公司在2020年推出面向合格投资者的旗舰股票对冲基金，专注于投资受大中华区经济发展推动的全球和本地优质上市公司，尤其是消费、平台、科技、工业、医疗保健和可持续发展等关键行业。</t>
  </si>
  <si>
    <t>布洛德峰投资（Broad Peak Investment）是一家位于新加坡的泛亚多策略投资咨询公司，资产管理规模为38亿美元。他们为机构和私人客户提供一系列投资服务。公司专注于亚洲市场，擅长提供量身定制的投资解决方案，以满足客户的目标和风险偏好。公司采用严谨的投资方法，将基本面研究、严密分析和风险管理相结合，旨在提供稳定、卓越的投资业绩。公司高度重视透明度、诚信和客户服务，努力与客户建立长期合作关系，帮助他们实现投资目标。</t>
  </si>
  <si>
    <t>云峰基金（YF Capital）成立于2010年4月，由阿里巴巴创始人马云和聚众传媒创始人虞锋联合多位成功企业家共同发起，资产管理规模为150亿美元。云锋基金致力于成就面向未来的优秀企业，陪伴企业共同创造长期价值，共建美好未来。
云锋基金关注硬科技、企业服务、绿色能源、现代农业、生物科技、消费等领域，海内外投资逾200多家企业，和创业企业一起推动技术创新与可持续发展，助力产业重塑与升级。</t>
  </si>
  <si>
    <t>云沐资本（YM Capital）是一家总部位于深圳，投资及投行业务辐射全国的新兴投资机构。自2018年成立以来，累计投资数十家企业，且陪伴超百家优秀企业完成近百笔融资，融资总金额超百亿人民币。 云沐资本长期聚焦智能硬件，覆盖消费科技、智能制造、跨境出海等领域，联动链主企业布局上下游，实现了从下游全球化销售，中游产研到上游元器件头部企业的全产业链覆盖。投资案例包括绿米Aqara、猎声电子、物奇科技等。</t>
  </si>
  <si>
    <t>鑫巢资本（Golden Nest）由陶涛先生与许科先生创立。公司聚焦全球资本市场已上市且与中国密切关联的股票研究和投资，持有香港证监会颁发的资产管理 9 号牌照。目前在香港、上海、成都设有办公室，前身为四川鑫巢资本管理有限公司。鑫巢资本以成为聚焦长期主义、诚实、专注、有品牌的长青型基金管理公司为目标，凭借专业投研能力与稳健投资策略，为投资者创造长期价值。</t>
  </si>
  <si>
    <t>汉景家办由景一携手中美新经济领袖、汉能投资集团董事长陈宏博士共同创办，开创了基金投资生态管理体系，填补了中国市场化母基金的空白，成为了中国领先的家族办公室。汉景专注于中国富豪家族的金融资产管理，专注于IPO、PE股权投资、大宗交易及二级市场投资投资人在互联网通信，金融保险，生活消费领域拥有丰富投资经验，曾参与投资大众点评网，喜马拉雅和辛巴达旅行网的投资</t>
  </si>
  <si>
    <t>清池资本（Lake Bleu）是专注医疗医药和科技创新领域的投资平台，立足中国香港和上海，为全球机构投资者（含主权财富基金、大学捐赠基金等）管理数十亿美金资产。公司秉承长期投资理念，主攻亚洲（尤其大中华地区）二级市场股票及私募股权中后期项目，持有香港证监会九号（资产管理）基金管理牌照，仅服务专业投资者。其使命是为投资者创造收益，助力企业成长及行业发展。</t>
  </si>
  <si>
    <t>顶石（Capstone Capital）成立于2023年3月，由家族办公室转型为专业资产管理公司，获准从事第4类及第9类受规管活动。公司立足香港，拥有国际化投资团队，核心成员平均从业12年以上，历经多轮牛熊周期，擅长股票、债券、商品及衍生品等多资产配置。采用数据驱动的量化研究框架，主要策略包括宏观多策略量化模型，保持市场中性并兼具对冲套利属性。资产管理规模约38亿美元</t>
  </si>
  <si>
    <t>深圳资本国际（Shenzhen Capital）是深圳市属的国有资本运营公司，成立十余年来，以资本运营为内核，构建战略研究与并购重组、股权投资、产业基金、资本市场投资四大板块，形成覆盖企业全生命周期的投资并购服务体系，其资本服务实体经济的模式国内影响力较大。旗下有建科院等 3 家上市公司，控股万和证券等 10 余家企业，参股深创投等近 20 家，资产布局以高端金融服务业和战略性新兴产业为主。资产管理规模约150亿美金</t>
  </si>
  <si>
    <t>Cephei</t>
  </si>
  <si>
    <t>润晖（Cephei）是一家专注于中国市场的资产管理公司，拥有十六年的中国资本市场投资业绩和二十多年的中国市场经验，管理规模近500亿人民币，产品包括全收益策略和相对收益策略，于2021年、2022年连续两年荣获三年期金牛海外私募管理公司奖。润晖投资受中国证监会、香港证监会、美国证券交易委员会和加拿大安大略省证券委员会的监管。</t>
  </si>
  <si>
    <t>经纬创投（Matrix VC）创立于2008年，管理规模超过700亿人民币，是行业内长期专注早期和早成长期投资的创投机构，专注新技术、硬科技、产业数字化、医疗、前沿科技、新消费等领域投资。目前累计投资800多家企业，理想汽车、小鹏汽车、合合信息、汉朔科技、猿辅导、宇树科技、海辰储能、沐曦集成、容百科技、极米科技、找钢集团、沛嘉医疗、富途证券、挚文集团、饿了么、客路旅行、和光同程、赛美特等。创立十余年以来，经纬创投组建了40余人的投资团队，持续重仓中国、聚焦中早期。</t>
  </si>
  <si>
    <t>摩根士丹利基金</t>
  </si>
  <si>
    <t>MSIF</t>
  </si>
  <si>
    <t>摩根士丹利基金（MSIF）是一款由摩根士丹利华鑫基金管理有限公司发行的混合型基金，资产管理规模为1.5万亿美元。它投资于具有良好基础的行业，追求超越业绩比较基准的投资回报。混合型基金意味着该基金同时投资于股票、债券等不同资产类别，以达到风险和收益的平衡。投资者可以通过购买基金份额，间接参与这些基础行业的投资，并分享基金的投资收益。</t>
  </si>
  <si>
    <t>粤民投基金（Gortune Investment Private Equity Fund）是广东民营投资股份有限公司（粤民投）旗下的股权投资平台，成立于2017年，资产管理规模为50亿人民币，并已在中国证券投资基金业协会登记为私募股权投资基金管理人。该公司主要从事私募股权投资基金管理、创业投资基金管理服务等业务，重点投资于生命科学、前沿科技、大消费领域等。粤民投基金致力于挖掘优质企业，陪伴企业成长，并为投资人进行长期的财富管理。</t>
  </si>
  <si>
    <t>50亿人民币</t>
  </si>
  <si>
    <t>软银亚洲（SoftBank Venture Asia）是ICT行业（Information and Communications Technology，信息与通信技术）的早期到成长阶段的初创公司，包括人工智能、物联网和智能机器人。投资区域集中在亚洲、美国、以色列和欧盟。</t>
  </si>
  <si>
    <t>前海开源基金(First Seafront Fund) 2013 年 1 月 23 日在深圳前海注册成立，公司立足国家金融创新合作区-深圳前海，依托粤港澳紧密合作和融合发展，面向全球，以合伙制等创新机制为突破口，以产品定制化、差异化为抓手，凭借完善的管理体制和创新的运营机制，全力打造一家创新型的专业财富管理机构</t>
  </si>
  <si>
    <t>益安资本（Yian Capital）成立于2014年5月19日，于2015年1月7日在中国基金业协会取得首批私募证券投资基金管理人资格，现为中国证券投资基金业协会观察会员。益安资本秉持价值投资理念，以深度研究驱动，聚焦于中国优秀上市公司价值发现，追求稳健持续发展</t>
  </si>
  <si>
    <t>中信建投自营利(China Securities)用中信建投证券自有资金开展投资业务，秉承“服务实体经济、服务科技创新、服务经济转型、服务国家战略”的理念，怀揣“助力科技，改变世界”的愿景，积极开展自有资金投资业务，助力高水平科技自立自强。公司重点布局“科技创新”“双碳架构”“先进制造”和“健康生活”四大赛道，构建以股权投资为核心，兼顾泛股权及创新产品投资的均衡资产组合。2023年新增投资项目26个，投资金额13.35亿元。</t>
  </si>
  <si>
    <t>睿郡资产（Wisdomshire Asset）成立于2015年5月，公司核心投资经理团队皆出自知名公募基金，平均从业年限超过20年，拥有丰富的二级市场投资经验和优异的历史业绩。公司信奉“业绩驱动、绝对收益”的经营理念，专心打造“权益+”平台，聚焦权益类投资，积极运用权益相关联资产的配置，在较好控制回撤的前提下把握权益投资机会，帮助客户在财富长跑中胜出
该投资人曾参与顺丰控股基石投资</t>
  </si>
  <si>
    <t>华泰柏瑞（Huatai-Pinebridge Fund）成立于2004年11月18日，总部位于上海，是中外合资基金管理公司，经营范围涵盖基金管理、发起设立基金等业务。华泰柏瑞主动投资与被动投资并行，专注于ETF产品的研发与运营，是国内首批推出上证红利ETF和沪深300ETF的基金公司之一。其管理的公募基金数量达316只，资产管理规模（非货币类）位居行业前列</t>
  </si>
  <si>
    <t>国泰海通（Guotai Haitong）由原国泰君安与海通证券合并组建，是中国资本市场长期领先的综合金融服务商。2024年9月，国泰君安与海通证券基于“强强联合、优势互补”原则实施合并重组，并于2025年4月正式完成更名。合并后，公司成为A+H股上市券商中规模最大的综合类券商之一，总资产和净资产均位列行业第一。公司始终以客户为中心，深耕中国市场，已形成涵盖证券期货经纪、投资银行、自营、权益及FICC交易、信用、资产管理、公募基金管理、私募股权投资、另类投资、融资租赁以及境外投资银行等多个业务领域的综合金融服务体系，为广大境内外企业、机构和个人客户提供全方位的专业金融服务。其资产管理规模近7,000亿人民币。</t>
  </si>
  <si>
    <t>Value Star AM</t>
  </si>
  <si>
    <t>山东发展投资</t>
  </si>
  <si>
    <t>山东发展投资是省委管理的国有重要骨干企业，定位为发展现代产业和战略性新兴产业、支持全省基础设施建设、推进新型工业化和服务绿色低碳高质量发展的国有资本投资公司，承担省委、省政府重要战略使命，更好地培育形成新质生产力、服务现代化强省建设。集团全资或控股24户直属企业，其中鲁银投资、圣阳股份为上市公司，持有14户省属企业部分股权，参股华电国际、山东核电等20余家企业，肩负全省新型工业化发展基金、国企改革发展基金、国有企业风险基金、省级纾困基金、绿色发展基金等运营管理职能</t>
  </si>
  <si>
    <t>张家港金茂成立于2008年4月，是由张家港市直属公有资产经营有限公司和张家港市金茂投资发展有限公司共同投资创办。 公司是张家港市委、市政府为促进本市高科技产业化发展，推动政府科技投入改革，加快高新技术成果转化而设立的市级专业创投机构。公司成立来先后投资参股了8家创投（风投）企业，还正在筹建“张家港科技产业发展基金”</t>
  </si>
  <si>
    <t>吉利汽车（Microsoft YaHei UI）是浙江吉利控股集团旗下一家集汽车乘用车整车、动力总成和关键零部件设计、研发、生产、销售和服务于一体的汽车集团，拥有吉利、雷达、翼真等汽车品牌，现有员工5万余人，是首个实现乘用车产销突破1000万辆的中国品牌车企。截至2024年10月底，全球累计销量超1600万辆</t>
  </si>
  <si>
    <t>Fubon AM</t>
  </si>
  <si>
    <t>渼丰</t>
  </si>
  <si>
    <t>渼丰是一家成立于1987年5月12日的香港资产管理公司。主要为客户提供证券交易、私人财富管理、多元资产基金、专业的资产管理及企业财务顾问服务。公司未来将继续增加多元化、国际化的服务及投资产品</t>
  </si>
  <si>
    <t>株洲中车时代高新投资</t>
  </si>
  <si>
    <t>淡水泉（Springs Capital）成立于2007年，由原嘉实明星基金经理赵军创立，是中国领先的私募证券基金管理公司之一。淡水泉秉持基本面驱动的逆向投资理念，同时开展私募证券基金、海外对冲基金、机构专户等业务，客户群体包括全球高净值个人客户、以及养老金、主权财富基金、银行资产管理等大型机构客户。公司在北京、香港、深圳、新加坡设有办公室。目前淡水泉的资产管理规模在600亿人民币左右。过往参与港股基石项目有：远洋服务 （6677.HK） – 投资金额40,000,000美元</t>
  </si>
  <si>
    <t>Hongtai Aplus</t>
  </si>
  <si>
    <t>洪泰创投（Hongtai Aplus）是中国打通早期创业和资本市场的专业投资机构之一。由著名企业家俞敏洪先生和资深投资银行家盛希泰先生在2014年11月共同发起成立。投资方向聚焦先进制造、信息技术、新材料新能源、生命健康和科技消费等五大领域。公司凭借专业的投资能力，在相关领域深入布局，先后投出了多家独角兽/准独角兽企业。截至目前，已有十多支在管基金，在天使+VC、PE、母基金方向均有成熟的投资布局。资产管理规模超300亿人民币。</t>
  </si>
  <si>
    <t>荣盛创投（Rongsheng Venture Capital）成立于2007年9月，是荣盛控股下属开展直接股权投资、私募PE投资、创业投资等股权投资业务的平台。公司管理着多只私募股权投资基金，专注于新能源、新材料、生物医药等战略性新兴产业领域投资，积极服务于细分行业龙头企业。未来，荣盛创投秉承“根植产业、创造价值”的理念，按照“专业化管理、规范化运营、市场化运作、科学化决策”的要求，采用“投资+投行+并购”的运作模式，在根植于产业基础的同时，有效采用资本市场工具和风险控制措施，致力于为投资企业提供优秀的资本运营方案，助力投资企业持续快速健康发展，并为投资者创造丰盛回报。</t>
  </si>
  <si>
    <t>Wuchan Zhongda AM (Zhejiang)</t>
  </si>
  <si>
    <t>Shanghai Dehui Group</t>
  </si>
  <si>
    <t>上海德汇（Shanghai Dehui Group）创立于2001年。始终秉持“德正敦行，汇诚致远”的企业精神，积极践行“科技德汇，融聚智慧”的企业理念，深耕科技创新20年，在材料科技、光电科技、智能科技等战略性新兴产业，持续取得突破性创新成果。公司控股9家高新技术企业，形成完善的科技成果产业化体系；拥有国家级专精特新企业4家、国家级工程研究中心1个、省级企业技术中心和工程技术研究中心9个、拥有专利、著作权等知识产权800多项，其中发明专利300余项：在陶瓷、功能性涂层材料、光学膜、光学晶体、人工智能、智能采集、机器人系统等领域都处于行业领先地位；先后荣获国家技术发明奖1项、国家科技进步奖4项，省、部级科技进步奖15项。</t>
  </si>
  <si>
    <t>Shanghai Dingtian Investment</t>
  </si>
  <si>
    <t>Shanghai Share-Fortune AM</t>
  </si>
  <si>
    <t>中车株洲电力机车研究所</t>
  </si>
  <si>
    <t>中车株洲电力机车研究所是铁道部株洲电力机车研究所，现为中国中车股份有限公司一级全资子公司。公司下属十大业务主体，拥有两家上市企业、十一个国家级创新平台、五个海外技术研发中心，旗下有11家单位入选国家级专精特新“小巨人”企业名单。公司立足交通和能源领域，深耕“器件、材料、算法”三大内核技术，打造了轨道交通、新材料、新能源装备、电力电子器件、汽车电驱、深海装备、工业电气、智轨快运系统等八大产业板块。近年来公司全面深化国企改革，奋力打造交通和能源领域的世界一流企业，改革实践入选国务院国资委《改革样本:国企改革“双百行动”案例集》。</t>
  </si>
  <si>
    <t>Apollo AM</t>
  </si>
  <si>
    <t>青岛天诚</t>
  </si>
  <si>
    <t>明毅基金（Mingyi Fund）是一家专注债券市场的私募证券投资基金管理人。明毅基金成立于2012年，2014年成为中国证券投资基金业协会登记的私募证券投资基金管理人，是中国证券投资基金业协会会员和中国银行间市场交易商协会会员。明毅基金根据客户投资需求和风险偏好，以债券资产配置和流动性管理为核心，为客户提供收益和风险相互平衡的投资解决方案。</t>
  </si>
  <si>
    <t>Wuchan Zhongda AM</t>
  </si>
  <si>
    <t>SV Investment</t>
  </si>
  <si>
    <t>SV Investment是韩国最大的从事股权投资和IPO咨询业务的投资集团之一，在韩国、中国、美国、新加坡均有基金管理经验，已发起超过三十支基金，在管基金规模约100亿人民币。SV Inestment的投资理念为支持客户的成长而创造价值，通过良好的基金业绩和风控管理的经验，引入LP包括韩国国民年金，韩国母基金，产业银行等。也是此前第一只中韩基金——深圳中韩产业投资基金的共同管理人。</t>
  </si>
  <si>
    <t>Ataraxia AM</t>
  </si>
  <si>
    <t>奥博资本（OrbiMed）是一家面向全球生物医疗行业的投资公司，专注于生物制药产品、医疗技术、医疗器械、诊断和药物发现工具的研发公司，以及医疗信息技术和医疗服务公司。其团队由来自生命科学、医学、金融等领域的130多名专业人士组成。公司管理多种二级市场基金，包括对冲基金、公募基金、事件驱动型基金和封闭式信托投资基金，广泛投资于生物医疗领域的上市公司。此外，OrbiMed采用灵活的私募股权投资策略，涵盖初创型和成长型公司，通常以领投者身份参与投资，致力于创造企业价值，投资范围涵盖北美、亚洲和欧洲。</t>
  </si>
  <si>
    <t>广汽</t>
  </si>
  <si>
    <t>广汽成立于1997年6月6日，是一家A+H股上市的大型国有控股股份制企业集团，属于广州市国资委直接监管企业，目前拥有员工约10 万人，《财富》世界500 强连续入围13年。主营业务涵盖研发、整车、零部件、能源及生态、国际化、商贸与出行、投资与金融等七大板块，坚持自主创新与合资合作同步推进，目前正全力向科技型企业转型。秉承“人为本、信为道、创为先”的企业理念，广汽集团未来将努力成为客户信赖、员工幸福、社会期待的世界一流企业，为人类美好移动生活持续创造价值。其资产规模约为200亿人民币。</t>
  </si>
  <si>
    <t>丰泽国际</t>
  </si>
  <si>
    <t>Fonze International</t>
  </si>
  <si>
    <t>丰泽国际（Fonze International）是一家植根于新加坡的专业投资机构，依托新加坡成熟的金融环境与全球化的区位优势，凭借专业的投资团队与严谨的风控体系，持续挖掘亚太地区的结构性机会。在保持资本稳健增值的同时，公司注重合规治理与可持续发展，致力于成为连接亚洲与全球资本市场的桥梁，为投资者创造持续稳定的长期价值。</t>
  </si>
  <si>
    <t>Singapore:
1 Wallich Street
#07-01A Guoco Tower
Singapore 078881</t>
  </si>
  <si>
    <t>Redient Capital是一家总部位于开曼群岛的私募股权公司。公司聚焦高增值潜力投资标的，重点布局凭借颠覆性技术、对标行业内根基稳固的基础设施龙头企业的创新型企业。公司主攻前期资本投入门槛低、具备非对称回报潜力的标的，旨在为合作伙伴持续创造复利价值。公司使命清晰，即通过创造并返还超额资本，助力合作伙伴实现财富增值；同时秉持严谨的执行标准，搭建机构级治理体系，采用 GP 主导的高度利益绑定模式。</t>
  </si>
  <si>
    <t>Fiera Capital是一家总部位于加拿大蒙特利尔的全球独立资产管理公司，成立于 2003 年，由 Jean-Guy Desjardins 创立。公司为机构投资者、财富管理渠道及高净值客户提供多资产解决方案，投资范围涵盖股票、固定收益、私募市场及其他另类投资。Fiera Capital 强调以基本面研究为核心的高信念、长期投资风格，并注重严格的风险管理与全球化资产配置。截至2025年三季度末公司管理资产规模约 1,670 亿加元，在北美、欧洲及亚洲设有多个投资与运营平台。</t>
  </si>
  <si>
    <t>太盟投资</t>
  </si>
  <si>
    <t>WealthQuay</t>
  </si>
  <si>
    <t>华凯资本（WealthQuay）是一家持有香港证监会牌照的专业资产管理机构，专注于为超高净值人士、家族办公室及金融顾问提供私募财富管理服务。公司以可持续财富创造为核心理念，结合全球资产配置经验与金融科技能力，提供定制化投资及风险管理解决方案。管理团队平均拥有逾15年的金融行业经验，并与多家国际及中资头部金融机构建立长期合作关系。依托稳健的合规体系与机构级基础设施，致力于在复杂多变的市场环境中实现长期稳健回报</t>
  </si>
  <si>
    <t>天津港（Tianjin Port Group）是国家重要的战略资源，是京津冀及“三北”地区的海上门户、雄安新区主要出海口，是“一带一路 ”的海陆交汇点、新亚欧大陆桥经济走廊的重要节点和服务全面对外开放的国际枢纽港，连续多年跻身世界港口前十强
-招商证券与天津港集团形成深度战略合作，通过多元化金融产品服务港口基建与智慧升级，建立长效协作机制</t>
  </si>
  <si>
    <t>Guohui HK</t>
  </si>
  <si>
    <t>海通国际私募股权部（Haitong International）是一家立足香港，面向全球的国际金融机构，致力于成为连接中国与海外资本市场的桥梁。母公司为国泰海通证券股份有限公司（股份代号：601211.SH）。海通国际为全球及本地企业、机构及零售、高净值客户提供包括私人财富管理、企业融资、资产管理、环球市场（主要包括固定收益、外汇及商品、金融产品、大宗经纪、及股票研究，销售和交易）、投资等全面金融服务。海通国际私募股权部是海通国际旗下的专业私募股权投资平台，专注于投资中国或与中国相关的高成长企业，投资领域包括科技互联网，消费，医疗健康，教育，环保节能和金融服务。</t>
  </si>
  <si>
    <t>新华人寿</t>
  </si>
  <si>
    <t>中粮（COFCO）是全球农粮供应链的重要组织者。中粮集团构建了覆盖跨国农粮收储、物流、加工、贸易的全产业链供应系统,业务遍及六大洲，资产分布近40个国家和地区，年农粮经营规模1.8亿吨。集团聚焦粮、油、糖、棉等品类，重点布局南美、黑海等全球最具增长潜力的优势产区和亚太、欧洲、非洲等覆盖全球一半以上人口的消费市场，投资仓储设施、港口、码头、铁路、大型现代化散粮运输船队，建设农粮加工基地，密织全球贸易网络，建立起链接东西半球的农粮贸易大通道，助力全球农粮供应更稳定更高效。 截至2024年底，集团资产总额7,000亿元，2024年度集团整体营业总收入6,350亿元。</t>
  </si>
  <si>
    <t>中国投资（CIC）成立于2007年9月29日，组建宗旨是实现国家外汇资金多元化投资，在可接受风险范围内实现股东权益最大化，以服务于国家宏观经济发展和深化金融体制改革的需要。中投公司下设三个子公司，分别是中投国际有限责任公司（以下简称“中投国际”）、中投海外直接投资有限责任公司（以下简称“中投海外”）和中央汇金投资有限责任公司（以下简称“中央汇金”）。</t>
  </si>
  <si>
    <t>Monashee</t>
  </si>
  <si>
    <t>摩根士丹利自营</t>
  </si>
  <si>
    <t>摩根士丹利自营（MS Prop）是摩根士丹利证券的证券交易团队凭借对中国资本市场的深刻洞察与本土交易领域的丰富经验，在交易所及银行间市场开展证券自营交易，涵盖固定收益类和权益类等投资交易领域。公司广博的业务专长以及全球范围内跨区域的机构投资者网络造就了卓越的二级市场交易能力。公司的交易团队旨在通过稳健的投资交易策略，实现投资组合的长期稳定收益</t>
  </si>
  <si>
    <t>Vivo Capitial成立于1996年，是一家全球领先的医疗健康投资机构，致力于通过生态策略实现战略赋能和资源整合。维梧资本在风险投资、成长型和控股型私募股权以及公开市场拥有多基金投资平台，累计管理15支美元基金和人民币基金，资产管理规模达75亿美元，在全球范围内布局超过460家企业。旗下所有基金策略均广泛投资于医疗健康领域，包括生物技术、制药、医疗器械和医疗服务等，重点关注全球最大的医疗健康市场。
公司拥有一支由70余名专业人士组成的团队，聚焦创新和增长，赋能企业在早、中、后期各个阶段的发展，为其提供创业平台、资金支持以及投后管理服务等，致力于打造医疗健康产业生态圈，为投资者和被投企业创造长期价值。
维梧资本总部位于美国加州帕洛阿尔托，在北京、上海、香港、台北和新加坡均设有办公室</t>
  </si>
  <si>
    <t>国寿股权（China Life PE）成立于2016年6月，注册在上海自贸区，是中国人寿旗下的专业化私募股权投资平台，致力于发挥中国人寿的资源优势，做长期的价值投资者和共享共赢的合作伙伴。公司于2016年发起国内领先的旗舰型医疗健康产业投资基金—国寿大健康基金。国寿大健康基金也是保监会相关政策颁布后首支获批成立的保险资金私募股权投资基金。</t>
  </si>
  <si>
    <t>金浦投资（GP Capital）由上海国际集团牵头，联合沙钢集团、横店集团、华泰证券共同发起成立。金浦投资聚焦金融科技、生物医药与医疗器械、医疗服务、文化消费、新材料、半导体产业、互联网与信息技术、新一代通信技术、机器人与人工智能等领域；管理规模超600亿人民币，投资团队近200人，是国资背景，市场化运作、专业化管理的头部私募股权投资机构。</t>
  </si>
  <si>
    <t>工银瑞信（ICBCUBS）是中国工商银行控股的基金管理公司，成立于2005年6月。工银瑞信已拥有公募基金、私募资产管理计划、社保基金境内外委托投资、基本养老保险基金委托投资、保险资金委托投资、企业年金、职业年金、养老金产品等多项产品管理人资格和QDII、QFII、RQFII等多项业务资格，成为国内业务资格全面、产品种类丰富、经营业绩优秀、资产管理规模领先、业务发展均衡的基金管理公司之一。截至2025年09月30日，工银瑞信（含子公司）旗下管理270只公募基金和多个年金、私募资产管理计划，资产管理总规模超过2.3万亿元。</t>
  </si>
  <si>
    <t>CMC资本（CMC Capital）由创始合伙人黎瑞刚先生创办，是国内领先覆盖科技、碳中和、文化消费投资的私募股权投资机构，在上海、北京、香港、深圳设有办公室，拥有国际一线投资机构的从业经验，前中后台团队均有丰富的国内外资本市场的募投管退经验，近113项目成功退出，斩获超过20个IPO案例。连续多年入选中国私募股权投资机构50强，目前在管多支美元、多支人民币基金和专项基金，累积获得来自全球各地区机构投资者支持</t>
  </si>
  <si>
    <t>Sinofortune</t>
  </si>
  <si>
    <t>联域股份</t>
  </si>
  <si>
    <t>SNC</t>
  </si>
  <si>
    <t>增途资本</t>
  </si>
  <si>
    <t>NewTrails Capital</t>
  </si>
  <si>
    <t xml:space="preserve">
</t>
  </si>
  <si>
    <t>Allianz GI</t>
  </si>
  <si>
    <t>5,910亿欧元</t>
  </si>
  <si>
    <t>超4,500亿美元</t>
  </si>
  <si>
    <t>约14万亿美元</t>
  </si>
  <si>
    <t>中国太保香港</t>
  </si>
  <si>
    <t>CPIC HK</t>
  </si>
  <si>
    <t>险资长线</t>
  </si>
  <si>
    <t>思格新能、创新实业、广和通、紫金黄金国际、宁德时代、EDA集团控股、天齐锂业</t>
  </si>
  <si>
    <t>3.26万亿人民币</t>
  </si>
  <si>
    <t>广合科技、Minimax-WP、壁仞科技、小马智行-W、极智嘉-W</t>
  </si>
  <si>
    <t>2,860 亿美元</t>
  </si>
  <si>
    <t>简街资本（Jane Street）为国际量化交易机构，专注于多元化金融产品领域，使用先进技术和算法进行金融市场交易。其业务涵盖ETF、股票、期货、商品、期权、债券及外汇，以高频交易和在ETF做市而闻名。公司成立于2000年，于纽约、伦敦、中国香港、阿姆斯特丹及新加坡设有办事处。Jane Street在全球逾45个国家、200多个电子交易所及其他交易平台参与市场交易。</t>
  </si>
  <si>
    <t xml:space="preserve">李文琳
（高级基金经理及中国股票业务总监）
</t>
  </si>
  <si>
    <t xml:space="preserve">希慎道33号利园一期16F
</t>
  </si>
  <si>
    <t>约4,500亿美元</t>
  </si>
  <si>
    <t>Jerry Peng（基金经理）、Freddie Cai（股权分析师）、Derek Su（股权分析师）
Alastair Pang
（ECM负责人）</t>
  </si>
  <si>
    <t>Kevin Duan （基金经理）、Jing Shi（基金经理）、Wangyang Xu（研究员）</t>
  </si>
  <si>
    <t>T. Rowe Price</t>
  </si>
  <si>
    <t>1.68万亿美元</t>
  </si>
  <si>
    <t>富国基金</t>
  </si>
  <si>
    <t>长光辰芯、恩格新能、大族数控、国恩科技、英矽智能、创新实业、乐舒适、紫金黄金国际</t>
  </si>
  <si>
    <t>超2万亿人民币</t>
  </si>
  <si>
    <t>1.1万亿人民币</t>
  </si>
  <si>
    <t>英矽智能、佰泽医疗、知行科技、途虎-W、宜明昂科-B</t>
  </si>
  <si>
    <t>泰康资管</t>
  </si>
  <si>
    <t>兆易创新、第四范式、九方智投控股、微创脑科学、越秀服务、第四范式、九方智投控股、微创脑科学、越秀服务、科济药业-B、荣昌生物、立德教育、沛嘉医疗-B、申万宏源、大众公用、中金公司、中国通号、联想控股、三生制药、华泰证券、枫叶教育、粤港湾控股</t>
  </si>
  <si>
    <t>阳光资管香港</t>
  </si>
  <si>
    <t>Sunshine AM</t>
  </si>
  <si>
    <t>胜宏科技、群核科技、卫龙、叮当健康、法拉帝、光谷联合</t>
  </si>
  <si>
    <t>兰安（基金经理兼投资总监）</t>
  </si>
  <si>
    <t>LyGH Capital</t>
  </si>
  <si>
    <t>约5.2亿美元</t>
  </si>
  <si>
    <t>超650亿美元</t>
  </si>
  <si>
    <t xml:space="preserve">
80亿美元</t>
  </si>
  <si>
    <t>1,670亿加元</t>
  </si>
  <si>
    <t>超550亿美元</t>
  </si>
  <si>
    <t>钟怡伶（研究员）</t>
  </si>
  <si>
    <t>1万亿人民币</t>
  </si>
  <si>
    <t>平安资管香港</t>
  </si>
  <si>
    <t>Ping An HK</t>
  </si>
  <si>
    <t>5万亿人民币</t>
  </si>
  <si>
    <t>产业投资人</t>
  </si>
  <si>
    <t>湾仔港湾道30号新鸿基中心26楼，2624</t>
  </si>
  <si>
    <t>超300亿人民币</t>
  </si>
  <si>
    <t>约300亿人民币</t>
  </si>
  <si>
    <t>米泽 征志Yonezawa-san（首席财务官）</t>
  </si>
  <si>
    <t>·未公开披露</t>
  </si>
  <si>
    <t xml:space="preserve">
郑海军（投资总监）</t>
  </si>
  <si>
    <t>联域股份（SNC）成立于2012年，公司专业致力于LED照明产品的研发、生产和销售，并立足北美，面向欧亚，依托强大的产品研发设计生产能力、供应链保障能力，领先的技术和品质，与众多全球头部光电照明品牌建立长期稳定的合作关系。公司通过国际标准化组织（ISO）颁布的三大关键领域体系认证，同时产品也通过FCC、DLC、UL、TUV、CUL、SAA、CE、ROHS、PSE等国际权威认证。</t>
  </si>
  <si>
    <t>兆威机电、金浔资源</t>
  </si>
  <si>
    <t>毕学文（创始合伙人）、卓琳（合伙人）</t>
  </si>
  <si>
    <t>增途资本（NewTrails Capital）是专注于一带一路和新兴市场的基金，重点关注非洲、南亚、中东、东南亚和拉美等市场，致力于帮助有宏大格局观的创业者和企业家拓展全球市场。基金投资人为来自多个新兴市场领先龙头企业，具有强产业背景及外海运营经验与渠道资源。主要团队均有超过10年以上投资经验和海外运营经验。公司重点关注科技和互联网、电商和大零售、大消费及品牌、物流及供应链、金融科技。</t>
  </si>
  <si>
    <t>乐舒适</t>
  </si>
  <si>
    <t>黎光宇（高级投资经理）</t>
  </si>
  <si>
    <t>越秀产业基金</t>
  </si>
  <si>
    <t>YueXiu Industrial Fund</t>
  </si>
  <si>
    <t>越秀产业基金（YueXiu Industrial Fund）成立于2011年，是越秀资本旗下的私募投资基金管理平台。公司经过多年市场化、专业化的发展，形成了母基金投资、股权投资、夹层投资的业务布局，以“践行国家战略、服务实体经济、助力科技创新、美好人民生活”为使命，致力于成为全国一流的产业投资平台。其累计资产管理规模超过1,500亿元。</t>
  </si>
  <si>
    <t>时代地产、中国人民保险</t>
  </si>
  <si>
    <t>超1,500亿人民币</t>
  </si>
  <si>
    <t>前海辰星</t>
  </si>
  <si>
    <t>Qianhai Starlight Capital</t>
  </si>
  <si>
    <t>沃尔核材</t>
  </si>
  <si>
    <t>Martin Chen（合伙人）</t>
  </si>
  <si>
    <t>鼎晖投资</t>
  </si>
  <si>
    <t>CDH</t>
  </si>
  <si>
    <t>Areca Capital</t>
  </si>
  <si>
    <t>Paul Ng（基金经理）</t>
  </si>
  <si>
    <t>Affin Hwang AM</t>
  </si>
  <si>
    <t>贝康医疗-B、云想科技</t>
  </si>
  <si>
    <t>Sung Yang Yap（分析师）</t>
  </si>
  <si>
    <t>约110亿美金</t>
  </si>
  <si>
    <t>SPARX AM</t>
  </si>
  <si>
    <t>SPARX Asset Management成立于1989年，总部位于日本东京，是日本领先的独立资产管理公司，也是SPARX Group Co., Ltd.（东京证券交易所主板上市，股票代码：8739）的全资子公司。公司秉承 “宏观是微观的集合” （Macro is the Aggregate of Micro）的投资理念，专注于自下而上的基本面研究，致力于成为“全球最受信赖和尊敬的投资公司”。截至2024年6月，其管理资产规模约104亿美元，通过股票多头/空头、另类投资、私募股权及主题基金等多元策略，为全球养老金、金融机构及高净值客户提供创新的投资解决方案，并率先设立了关注太空、AI、量子计算及可再生能源等前沿领域的专项基金。</t>
  </si>
  <si>
    <t>方宝畯（基金经理）</t>
  </si>
  <si>
    <t>首尔</t>
  </si>
  <si>
    <t>小组会</t>
  </si>
  <si>
    <t>Samsung AM</t>
  </si>
  <si>
    <t>Sunghwan Kwak（基金经理）</t>
  </si>
  <si>
    <t>Mirae Asset GI</t>
  </si>
  <si>
    <t>Jaeyong Lee （基金经理）
Daniel Zhou（基金经理）、Edward Chan（高级分析师）、Bingyao Chen（分析师）</t>
  </si>
  <si>
    <t>三星资产</t>
  </si>
  <si>
    <t>约3,280亿美元</t>
  </si>
  <si>
    <t>未来资产环球投资</t>
  </si>
  <si>
    <t>好赞资产管理有限公司(TradArt Asset Management Co., Limited)，设立于2021年7月，新生代资产管理有限公司。公司专注于港股IPO投资及港股通投资策略，聚焦医疗大健康、硬科技、大消费、新经济新技 术等赛道。核心团队参与港股IPO项目累计近100家，已投金额累计超过30亿港币</t>
  </si>
  <si>
    <t>汇添富（China Universal Asset Management）是中国一流的综合性资产管理公司之一。自2005年2月成立以来，汇添富基金已发展成为长期业绩亮眼、产品布局完善、业务领域全面、资产管理规模居前的大型基金公司。公募业务方面，截至2025年二季度，汇添富基金共管理363只公募基金，涵盖股票型基金、指数型基金、QDII基金、混合型基金、债券型基金、REITs基金及货币市场基金等各类产品。截至2025年6月30日，资产管理总规模超1.2万亿人民币。
过往港股基石投资案例包括映恩生物-B、科伦博泰生物-B、先瑞达医疗-B、奈雪的茶、森松国际等。</t>
  </si>
  <si>
    <t>Pheim Asset Management于 1995 年 1 月作为豁免基金管理公司开始运营，并成为新加坡首批获得投资顾问资格的两家精品基金管理公司之一。Pheim主要采用价值投资法，专门投资于东盟市场和除日本以外的广大亚洲地区的有价证券。客户主要包括机构（包括政府机构、与政府有关联的公司、企业、保险基金、单位信托和共同基金）和一些高净值个人。</t>
  </si>
  <si>
    <t>万家基金（Wanjia Asset Management）是成立逾 22 年的公募基金管理公司，综合实力雄厚，行业排名领先，旗下权益、固收、量化、组合投资四大业务均衡发展，产品线完善，业绩稳健优异。截至 2025 年 3 月 31 日，万家基金资产管理总规模达 5,117 亿元，其中，公募基金管理规模 4,966 亿元</t>
  </si>
  <si>
    <t>Value Star Asset Management是一家总部位于香港的对冲基金管理公司，专注多空股票策略。公司重点布局深度关联中国经济的海内外上市企业，前十大持仓集中度达88.7%。旗舰组合锚定科技龙头（Meta/亚马逊/台积电）、医疗健康（HCA）及网络安全（Zscaler）等赛道，新增仓位聚焦Alphabet等科技巨头。截至2024年一季度，公司资产规模为2.9亿美元。公司创始人为Dr.Andy Xie, 是一位专注于中国及亚洲经济研究的独立经济学家，曾担任摩根士丹利董事总经理兼亚太区经济研究团队主管，麦格理银行企业融资部副董事，世界银行经济学家</t>
  </si>
  <si>
    <t>富邦投信（Fubon Asset Management）成立于1992年，总部位于台湾，是台湾地区知名的投资信托公司。截至2025年6月底，公司旗下共有86支共同基金，涵盖国内股票型基金、货币市场型基金、指数股票型基金（ETF）、海外型基金等多类产品，合计管理规模达新台币9,423亿元。富邦投信以资本市场服务为核心，主要涉及共同基金管理、证券投资信托等业务。其产品涵盖传统股票型基金、货币市场型基金及指数型ETF，并积极开发海外投资商品，包括股票、债券、商品期货等多元化资产配置工具。富邦投信过往曾参投兆威机电（003021.SZ）</t>
  </si>
  <si>
    <t>瀚亚投资（Eastspring Investment）是英国保诚集团（Prudential plc）旗下全资资产管理子公司，成立于1994年，总部位于新加坡，以深耕亚洲市场为核心，通过本地化团队与科技驱动策略（如Aladdin资产管理平台）为全球客户提供多元资产配置方案。结合自上而下的宏观分析与自下而上的个股研究，聚焦股票、固定收益及多资产组合，尤其擅长通过区域专家网络挖掘亚洲新兴市场的结构性机会。其资产管理规模为2860亿美元</t>
  </si>
  <si>
    <t>骏利亨德森（Janus Henderson）是全球领先的主动资产管理公司，成立于 2017 年，由拥有近 50 年历史的美国Janus Capital Group与英国百年资产管理机构Henderson Group合并而成。截至 2025 年 3 月，公司管理资产规模（AUM）达 3,732 亿美元，业务覆盖股票、固定收益、多元资产及另类投资四大核心领域，服务全球 6,000 万个人及机构投资者。过往港股基石投资案例有北海康成、联易融科技、诺辉健康。</t>
  </si>
  <si>
    <t>Jain Global是一家总部位于纽约市的美国投资产管理理公司，多策略协同运作为核心投资策略，通过跨资产类别和跨市场的多元化配置实现风险分散与收益优化。在欧洲和亚太地区设有额外办公室。Jain Gobal由Millennium的前CIO Bobby Jain于2023年创立，是近年来募资规模最大的多策略基金</t>
  </si>
  <si>
    <t>日兴资产管理（Nikko）是亚洲最大的资产管理公司之一，提供一系列股票、固定收益和多元资产策略的高预测主动型基金管理。此外，公司的补充性被动策略系列涵盖 20 多个指数，并包括一些亚洲最大的交易所交易基金（ETF）。公司在投资时综合运用基本面分析、定量分析和业绩分析，并采用自下而上的选股方法。日兴资产拥有集中化的研究团队，广泛覆盖日本和亚洲市场，通过公司访问进行研究分析，以了解被访问公司的管理、战略和能力，使投资组合经理和分析师能够确定和评估其对公司中长期经营策略和管理方向的理念。过往港股基石投资案例有环球医疗。其资产管理规模为2339亿美元。</t>
  </si>
  <si>
    <t>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t>
  </si>
  <si>
    <t>Serenity Capital是一家是一家专注于大中华及亚太市场的专业投资产管理理机构。截至2021年12月31日，公司管理的客户资产规模达25.86亿美元。公司专注于中国新经济赛道精选成长股策略，通过深度挖掘中国消费产业链变革机遇，构建高集中度投资组合。公司的投资组合高度聚焦于物流运输、酒店住宿、教育培训三大核心领域。公司秉持深度基本面研究和长期价值投资理念，持续捕捉中国消费升级与产业变革中的企业价值重估红利。</t>
  </si>
  <si>
    <t>Willing Capital是一家总部位于香港的金融服务公司。该公司为机构和个人客户提供投资产管理理和咨询服务，包括投资组合管理、财富规划和风险管理。投资方法侧重于基本面分析和深入研究相结合，以确定有吸引力的投资机会。该公司采用以客户为中心的方法，量身定制投资策略，以满足每个客户的独特需求。资产管理规模8亿美元</t>
  </si>
  <si>
    <t>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t>
  </si>
  <si>
    <t>长风资产管理（Changfeng）是一家服务于中国高净值人群的专业财富管理机构及中资长线投资平台。公司融合主动管理能力与金融科技优势，通过基金投资、投资顾问、资产管理、产业投资等多元化业务，为投资者提供全市场、跨周期的长期财富管理解决方案。公司秉承现代财富管理理念，锐意引进创新财富增长模式，立足于互联网金融，致力于打造一个集理财、金融资产管理及其他特色金融产品于一体的互联网金融平台</t>
  </si>
  <si>
    <t>大家（Dajia Asset Management）由中国保险保障基金有限责任公司、上海汽车工业（集团）有限公司、中国石油化工集团有限公司共同出资设立，至今已发展成为一家涵盖保险、资产管理、养老三大核心业务的综合性保险集团
大家资产是大家保险集团旗下的专业资产管理公司，成立于2011年，前身为安邦资产管理有限责任公司。大家资产主要业务是受托管理保险资金，并覆盖固定收益、权益投资等领域。资产管理规模约1.2万亿人民币</t>
  </si>
  <si>
    <t>富国基金（Fullgoal Fund）成立于1999年，是证监会批准设立的首批十家基金管理公司之一，总部位于上海，在北京、广州、成都设有分公司。富国基金已经形成权益投资、固定收益投资、量化投资三大投研平台，已覆盖主动权益、固收、量化、养老金投资、FOF等多个领域，具备多策略、多元化的投资产管理理能力。资产管理规模约2,086亿美元</t>
  </si>
  <si>
    <t>浩成资产管理是1997年成立于香港的持牌资产管理机构，专注于多元资产配置及跨境投资产管理理，其投资策略以长期价值导向为核心，结合主动管理与风险控制，覆盖公开市场证券、另类资产及跨境投资机会。重点投资领域包括技术基础设施（半导体、硬件）和供应链（消费者、工业、运输）</t>
  </si>
  <si>
    <t>润淼资产管理（SilkyWater）是一家专注于港股市场的专业投资机构，其核心业务覆盖一级半市场及二级市场投资。在市场快速多变的环境下，迎合客户群的需求和创造价值。在深圳设有润淼（深圳）咨询管理有限公司作为中国内地的办公室，为客户资产在亚洲内局提供全方位服务。团队拥有丰富的投资及基金管理经验在管多支不同策略的美元基金均表现优异。截止目前，公司累计管理客户资产及参与投资项目规模已达到8亿美元</t>
  </si>
  <si>
    <t>平安资产管理（Pingan）是首批经中国银保监会批准设立的保险资产管理公司之一，于2005年5月成立。公司始终坚持价值投资、长期投资理念，以客户为中心，做长期正确的事，获得市场广泛认可。目前，平安资产管理资产管理规模达5.8万亿人民币，投资领域涵盖股票、债券、基金、货币市场、多元资产、债权及股权等资本市场与非资本市场直接投资的各个领域，具备跨市场资产配置和全品种投资能力</t>
  </si>
  <si>
    <t>雾凇资本（Rime Capital）是达到香港政府及香港证监会统计的投资金额超过一亿美元的家族办公室及资产管理投资机构之一，为机构投资客户和超高净值人士提供全方位投资产管理理服务。公司具备香港证监会规管1号牌、4号牌、9号牌，及中国内地港股投资顾问等多种牌照资质，致力发展成为大中华区领先的多元化金融投资服务平台。资产管理规模约5亿美元</t>
  </si>
  <si>
    <t>信达汉石（Sinorock）成立于2006年2月，是名力和中国四大资产管理公司之一的中国信达资产管理有限公司合组的投资及管理公司，公司股东均为中国大陆及香港地区实力雄厚的金融及投资产管理理机构。公司业务主要是专注于发掘在处置不良资产过程中的投资机会以及其它相关机会，与国内外多家著名企业保持很好的合作关系。公司投资领域涵盖能源环保、先进制造、物流、医疗健康、消费电商等。</t>
  </si>
  <si>
    <t>阳光资产管理香港（Sunshine Asset Management）是中国一家快速成长、行业领先的民营保险服务集团，持续致力于为客户提供专业的风险保障及综合服务解决方案。集团成立于2007年，历经17年发展，集团打造了知名的阳光品牌，形成了强大的品牌竞争力。集团通过遍布全国的分销和服务网络向个人和团体客户提供多样化的保险产品及服务。目前，集团拥有财产保险、人寿保险、信用保证保险、资产管理、医疗健康等多家专业子公司。</t>
  </si>
  <si>
    <t>中信建投资产管理成立于2009年7月31日，专业从事私募股权投资基金管理业务。中信建投资本管理的基金涵盖股权直投基金、市场化母基金等，投资标的主要为具有上市前景的高成长性企业以及在产业整合中具有并购价值的企业，行业领域覆盖科技通信、医疗医药、清洁能源、新材料、先进制造、节能环保、文旅消费等。截至2023年末，中信建投资本在管基金规模超过650亿人民币</t>
  </si>
  <si>
    <t>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t>
  </si>
  <si>
    <t>Qube 前身为瑞信伦敦办公室的量化及系统资产管理部门（Quantitative and Systematic Asset Management），于2017年分拆成为独立投资机构，资产管理规模为20亿美元。Qube专注于利用数据、技术和系统性研究开发多元化的投资策略，并通过跨学科团队协作、前沿科技应用和严格的风险管理创造高质量的投资收益。基金采用全球多元化的投资策略，覆盖多地域、多总产类别，结合量化模型与市场动态</t>
  </si>
  <si>
    <t>上实资本（SIIC）成立于 2020 年 4 月 30 日，作为上海上实集团旗下的主动型基金管理平台，专注于股权投资产管理理与资产管理核心业务。自成立以来，公司始终立足上海、联动香港、面向全球，依托多币种、全阶段的基金矩阵布局，在智能科技、绿色环保、生物医药等战略新兴产业领域积极发掘并把握投资机遇</t>
  </si>
  <si>
    <t>东方红资产管理（Orient）成立于2010年7月28日，资产规模约2,165亿人民币，是国内首家获中国证监会批准设立的券商系资产管理公司，也是业内首家获得公募基金管理业务资格的券商资产管理公司。公司以证券资产管理业务和公开募集证券投资基金管理业务为核心，涵盖集合计划、专项计划等多种产品类型，形成权益投资与固收投资并重的业务格局。</t>
  </si>
  <si>
    <t>大成国际资产管理（Dacheng International Asset Management）成立于2009年3月19日，是大成基金管理有限公司在中华人民共和国香港特别行政区设立的全资子公司，资产管理规模为6000亿人民币。公司为首批在港设立子公司的中资基金公司之一，并率先推出一系列公募产品（包括ETF产品），积极开拓发展跨境业务和全球投资业务。公司具备中国证监会颁发的QFII/RQFII资格；2018年10月首批取得中国证监会港股通境外投资顾问资格备案</t>
  </si>
  <si>
    <t>物产中大（Wuchan Zhongda Asset Management （Zhejiang））成立于2021年6月1日，是世界500强企业物产中大集团（SH.600704）金融板块成员企业，下设子公司浙江物产中大鸿泰投资产管理理有限公司。公司依托集团多元化的产业链，凭借“产业+金融”的差异化竞争优势，努力打造具有物产中大特色的产业型专业资产管理公司。公司主营业务为不良资产的收购、管理、处置与咨询服务，从业人员主要来自于银行、信托、券商、律所等大型金融机构和第三方专业机构。目前，累计资产管理规模超20亿元。</t>
  </si>
  <si>
    <t>上海顶天投资（Shanghai Dingtian Investment）成立于2010年4月1日，为张怀安家族办公室，主要经营范围涵盖投资产管理理、实业投资、创业投资及商务咨询等领域。截至目前资产管理规模达百亿人民币，近年来活跃于港股、A股及美股市场投资。重点关注的领域包括通信技术、科技、消费等。</t>
  </si>
  <si>
    <t>WT资产管理（WT Asset Management）是一家专业资产管理机构，在香港、北京和上海设有办公室。公司投资团队拥有超过15年的投资产管理理经验和丰富的行业经验，相信大中华市场有潜力存在巨大的成长空间。WT致力于通过主要投资在大中华地区有广泛业务或受大中华地区影响较大的公司，为投资者实现投资回报及长期资本增值。目前，其资产管理规模约为40亿美元。</t>
  </si>
  <si>
    <t>申万宏源证券（Shenwan Hongyuan Securities）是由新中国第一家股份制证券公司——申银万国证券股份有限公司与国内资本市场第一家上市证券公司——宏源证券股份有限公司，于2015年1月16日合并组建而成。申万宏源证券有限公司营业网点遍布全球，在香港、新加坡设有子公司，并设有伦敦、东京、首尔等海外分支机构办事处。公司拥有投资银行、财富管理、机构服务和交易、投资产管理理等全业务牌照，主营业务涵盖企业金融、个人金融、机构服务、投资产管理理、国际业务五大业务板块，致力于为客户提供以资本市场为核心的全产业链综合金融服务。</t>
  </si>
  <si>
    <t>物产中大（Wuchan Zhongda Asset Management）是世界500强企业、上市公司物产中大（股票代码：600704）的全资子公司。公司以财务投资和资产管理为核心，形成了“投资+资产管理+服务”三轮驱动的发展格局。截至2025年5月，对外投资企业达33家，涉及供应链管理、股权投资等多个领域。</t>
  </si>
  <si>
    <t>施罗德资产管理（Schroders）是全球领先的主动资产管理、投资咨询及财富管理服务提供商，在可持续发展领域的行业引领地位广受认可。其综合服务能力与全球化业务布局在业内领先。机构业务覆盖公募与私募市场，可针对各类客户的差异化需求定制专属解决方案，以实现优异的长期投资回报为核心目标，始终将客户利益置于首位。施罗德资产管理秉持负责任的投资理念，坚信成就客户价值的同时，亦能为社会及全球市场创造正向效益。公司资产管理规模为1万亿美元</t>
  </si>
  <si>
    <t>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t>
  </si>
  <si>
    <t>汇丰资产管</t>
  </si>
  <si>
    <t>瑞银资管</t>
  </si>
  <si>
    <t>复星资产管理（Fusun）致力于提供全球固定收益、股票与另类投资的投资咨询与资产管理服务，客户群体包括亚洲、欧洲与美国的机构客户‌。公司的投资领域广泛，包括医药、地产、制造、旅游、金融等，注重长期价值和风险控制，通过多元化的投资组合降低风险，同时追求资产的稳健增值‌</t>
  </si>
  <si>
    <t>SBCVC</t>
  </si>
  <si>
    <t>软银中国（SBCVC）成立于2000年，资产管理规模约30亿美金，是一家风险投资和私募股权基金管理公司，致力于在大中华地区投资优秀的高成长、高科技企业。曾成功投资了阿里巴巴、淘宝网、分众传媒、万国数据、华大基因、迪安诊断、理邦仪器等一系列优秀企业。目前软银中国资本同时管理着多支美元和人民币基金，投资领域包括信息技术、医疗健康、新能源和高端智能制造等行业，投资阶段涵盖早期、成长期和中后期各个阶段。</t>
  </si>
  <si>
    <t>Zhuzhou CRRC Times Investment</t>
  </si>
  <si>
    <t>株洲中车时代高新投资（Zhuzhou CRRC Times Investment）由中车株洲电力机车研究所有限公司（简称：中车株洲所）和株洲高科集团有限公司共同出资设立。中车株洲所始创于1959年，现为中国中车股份有限公司一级全资子公司。公司下属十大业务主体，拥有两家上市企业、十一个国家级创新平台、五个海外技术研发中心，旗下有11家单位入选国家级专精特新“小巨人”企业名单。公司立足交通和能源领域，深耕“器件、材料、算法”三大内核技术，打造了轨道交通、新材料、新能源装备、电力电子器件、汽车电驱、深海装备、工业电气、智轨快运系统等八大产业板块。时代投资是中车株洲所旗下唯一的专业投资机构，现已成为中车株洲所实施资本运作、产融结合与资产经营的重要平台。时代投资先后发起设立新能源、南车华盛、高科发创、杭州鼎丰、聚时代、时代鼎创等9只股权投资基金，投资逾百家科技创新型企业，行业涵盖新一代信息技术、先进材料、新能源、工业软件、高端制造等，资产管理总规模近30亿。</t>
  </si>
  <si>
    <t>Wellington</t>
  </si>
  <si>
    <t>Broad Peak</t>
  </si>
  <si>
    <t>马来亚银行资管</t>
  </si>
  <si>
    <t>Maybank AM</t>
  </si>
  <si>
    <t>国华人寿</t>
  </si>
  <si>
    <t>Guohua Life</t>
  </si>
  <si>
    <t>工银理财</t>
  </si>
  <si>
    <t>ICBC WM</t>
  </si>
  <si>
    <t>徐昊程（高级经理）</t>
  </si>
  <si>
    <t>国寿养老</t>
  </si>
  <si>
    <t>China Life Pension</t>
  </si>
  <si>
    <t>保险资金</t>
  </si>
  <si>
    <t>郭林（制造组长）</t>
  </si>
  <si>
    <t>Meritz Securities</t>
  </si>
  <si>
    <t>Hanwha Securities</t>
  </si>
  <si>
    <t>Kiwoom Securities</t>
  </si>
  <si>
    <t>Yuanta Securities</t>
  </si>
  <si>
    <t>Meritz Securities成立于1973年2月。公司致力于通过以下方式确保其在快速变化的市场中的竞争力：通过销售具有竞争力的产品（例如CMA）来扩大客户网络，利用MERITZ金融集团的共享品牌和渠道（例如MERITZ火灾和海上保险以及MERITZ资产管理），以及引入集团子公司的混合产品，最大限度地发挥协同效应。其管理资产为135.5万亿韩元。</t>
  </si>
  <si>
    <t>韩华证券</t>
  </si>
  <si>
    <t>华丰资产管理（Sinofortune）是一家立足香港，深耕大中华区的专业多策略投资机构。秉承“价值投资、长期陪伴”的理念，华丰资产管理持续发掘港股IPO的投资机会，通过IPO国际配售、二级增持、大宗交易、增发配售等方式深度参与企业资本运作。团队基金经理及主要投资人具备多年港股投资及运作经验，熟悉IPO及后续资本运作规则，并与内外资公募、长线外资基金、对冲基金等建立了广泛密切的合作关系，能够为上市公司提供专业的建议与独特的视角。</t>
  </si>
  <si>
    <t>鼎晖投资（CDH）成立于2002年，是中国最早由专业的投资与金融人士，联合新加坡政府投资公司等机构投资者创立的专注于中国市场的另类资产管理公司，足迹已从中国扩展到东南亚地区。公司是拥有股权投资、夹层投资、证券投资、不动产投资的综合性多资产管理平台，可以在企业的不同成长阶段，从不同角度为其提供相匹配的支持。公司投资并参与了超350家行业龙头企业的成长历程，并成功扶持其中100家企业在国内外上市。</t>
  </si>
  <si>
    <t>元大证券</t>
  </si>
  <si>
    <t>元大证券（Yuanta Securities）韩国有限公司为公司的客户提供基于在融资市场积累的丰富经验的综合金融解决方案。公司专注于公司股票、股票相关债券、实收资本增资和首次公开募股（IPO），同时，公司也参与并购、私募股权投资等业务，以确保公司与竞争对手相比具有差异化优势。此外，基于公司在柬埔寨的企业运营经验以及海外网络，包括外国公司的IPO和并购，以及国内企业海外债券发行，公司正朝着全球投资银行的目标迈进。</t>
  </si>
  <si>
    <t>Midas Asset</t>
  </si>
  <si>
    <t>Midas Asset致力于为公司的主要利益相关者——客户、员工和股东——创造最佳成果。公司的经营理念围绕着管理以及为利益相关者带来更高回报展开，这对于积累公司资产和留住顶尖人才至关重要。公司希望通过这种方式，能够让客户满意，赋能员工，并为股东带来丰厚的回报。</t>
  </si>
  <si>
    <t>未披露</t>
  </si>
  <si>
    <t>Kiwoom Securities是一家总部位于韩国首尔的金融服务公司。该公司成立于2000年，并荣登福布斯全球2000强榜单。Kiwoom为国内外证券交易所和期货交易所提供经纪服务。此外，该公司还提供其他金融服务，例如投资、风险管理、资产管理和投资策略研究。</t>
  </si>
  <si>
    <t>约94万亿韩元</t>
  </si>
  <si>
    <t>约252万亿韩元</t>
  </si>
  <si>
    <t>381亿美元</t>
  </si>
  <si>
    <t>韩华证券（Hanwha Securities）成立于1962年，是韩国十大企业集团之一，也是《财富》全球500强企业。韩华拥有80家国内关联公司及460多个全球网络，主营业务涵盖四大领域：化学与能源、航空与机械、金融、建设与休闲/生活方式服务等。韩华能够在过去的七十年间取得令人瞩目的发展，归功于其能够高瞻远瞩，预测变化，迎难而上，勇往直前的挑战精神。</t>
  </si>
  <si>
    <t>8亿美元</t>
  </si>
  <si>
    <t>Amova</t>
  </si>
  <si>
    <t>Hu Weiqiang, Raymond（基金经理）</t>
  </si>
  <si>
    <t>2.2万亿美元</t>
  </si>
  <si>
    <t>3,060亿美元</t>
  </si>
  <si>
    <t>Mirae Asset Securities</t>
  </si>
  <si>
    <t>未来资产证券</t>
  </si>
  <si>
    <t>Centiva Capital</t>
  </si>
  <si>
    <t>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t>
  </si>
  <si>
    <t>JPM AM</t>
  </si>
  <si>
    <t>Robeco</t>
  </si>
  <si>
    <t>华夏基金（China AMC）成立于1998年4月9日，是境内最早成立的公募基金管理人之一，拥有丰富的资产管理经验，管理规模持续行业领先。公司定位于综合型、全能化资产管理公司，服务范围覆盖多个资产类别、行业和地区，构建了以公募基金和机构业务为核心，涵盖华夏基金（香港）、华夏资本和华夏财富三家子公司的多元化资产管理平台。2025年1季度末，华夏基金管理资产规模超2.81万亿人民币，是境内最大的基金管理公司之一。</t>
  </si>
  <si>
    <t>3万亿美元</t>
  </si>
  <si>
    <t>华勤技术、东鹏饮料</t>
  </si>
  <si>
    <t>Robeco是一家国际资产管理公司，提供涵盖股票和债券等广泛的主动型投资产品。研究是公司一切工作的核心，自1929年在鹿特丹成立以来，公司始终秉持“开拓进取，谨慎行事”的投资理念。公司坚信可持续投资、量化投资和持续创新。</t>
  </si>
  <si>
    <t>富德资管</t>
  </si>
  <si>
    <t>Funde AM</t>
  </si>
  <si>
    <t>254亿港元</t>
  </si>
  <si>
    <t>周正平（副总裁）</t>
  </si>
  <si>
    <t>Qinbo Ding（基金经理）
Joe Zhu（ECM负责人）</t>
  </si>
  <si>
    <t>ORIX</t>
  </si>
  <si>
    <t>欧力士（ORIX）是日本财团，业务范围涵盖金融、新能源、地产、基础设施运营等，TMT也是其重点投资的板块。主要关注竞争壁垒较高、盈利性较强、现金流稳定的公司。近期参与投资了霸王茶姬和宁德时代港股IPO。资产管理规模达74万亿日元（约4,700亿美元）。</t>
  </si>
  <si>
    <t>Taikang AM</t>
  </si>
  <si>
    <t>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t>
  </si>
  <si>
    <t>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t>
  </si>
  <si>
    <t>Cameron Lam(基金经理)</t>
  </si>
  <si>
    <t>Damien Brosnan（基金经理）</t>
  </si>
  <si>
    <t>James Wang （创始人）</t>
  </si>
  <si>
    <t>James Chen（CIO）</t>
  </si>
  <si>
    <t>Sam（中国区投资负责人）</t>
  </si>
  <si>
    <t>Valliance AM</t>
  </si>
  <si>
    <t>璞林资本（Valliance Asset Management）是一家总部位于香港的资产管理公司，成立于2019年。该基金是一家多策略基金，总部位于香港。Valliance Asset Management 采用深度价值和自下而上的投资方式，以严谨的投资决策过程结合详细的研究，代表全球众多机构客户在多种基金及工具中选择投资组合</t>
  </si>
  <si>
    <t>大成基金（Dacheng Asset Management）成立于1999年，是中国首批“老十家”基金公司之一，总部位于广东深圳。历经20余年稳健发展，大成基金形成了以长期投资能力为核心的竞争优势，全面覆盖各类投资领域，综合实力不断提升。截至2024年底，公司管理资产总规模近6,000亿元，其中管理公募资产规模超3,600亿元。公司业务资质齐全，全面覆盖公募基金、机构投资、海外投资、财富管理、养老金管理等业务</t>
  </si>
  <si>
    <t>TradArt AM</t>
  </si>
  <si>
    <t>Pamalican总部位于香港，重点关注亚洲市场，专注于ECM投资策略。创始人Jamie Goodman曾担任该公司的股权资本市场主管和亚太区投资组合经理。Pamalican过去曾参 与美的集团与华润饮料的基石投资，其中认购美的集团3,000万美元，认购华润饮料1,000万美元。资产管理规模为5亿美元</t>
  </si>
  <si>
    <t>GEM是一家管理着各种投资工具的、专注于全球新兴市场的另类投资集团，其资产管理规模达34亿美元。根据公开信息，GEM及其关联主体于2010年至今共进行约80次投资，覆盖TMT、新能源、医疗健康、消费等多个行业。过往投资项目包括Scorefam、LootMogul等。</t>
  </si>
  <si>
    <t>Fideuram</t>
  </si>
  <si>
    <t>三星资产运用株式会社（Samsung Asset Management） 成立于1998年，是三星集团（Samsung Group）旗下的核心资产管理公司，总部位于韩国首尔。公司在投资产管理理上遵循“以客户资产价值增长为首要目标”的原则，致力于通过成熟的投资原则、先进的投资组合管理系统和系统化的风险管理能力，为投资者提供创新的金融产品和长期的财富增值服务。截至2025年11月，三星资产运用的资产管理规模（AUM）约436万亿韩元（约合3,280亿美元），其中KODEX ETF系列净资产约108万亿韩元。</t>
  </si>
  <si>
    <t>Ryan Hu（基金经理）</t>
  </si>
  <si>
    <t>Carlo Agostinelli (ECM负责人）
Samuel Wu（基金经理）</t>
  </si>
  <si>
    <t>宋奇（基金经理）</t>
  </si>
  <si>
    <t>未来资产证券（Mirae Asset Securities）已在韩国构建了全球最大的投资网络，业务遍及印度、香港、美国、越南和印度尼西亚等11个国家，并通过完善的区域化战略建立了可持续的商业模式。作为韩国领先的金融机构，公司确保投资活动始终基于稳健的原则和公司在投资领域积累的丰富经验。公司致力于为客户创造更大价值，并通过投资助力构建充满活力的社会。其资产管理規模为8,000亿美元。</t>
  </si>
  <si>
    <t>未来资产环球投资公司（Mirae Asset Global Investment）创立于亚洲，目前业务遍及全球15个国家，公司秉持协作精神，管理多元化的投资平台。公司凭借独特的视角和全球投资专业人士的专业知识，公司能够适应客户不断变化的需求，为其提供创新的投资方案和智能的投资方式，助力其实现投资目标。截至2025年6月，公司资产管理規模为3,060亿美元。</t>
  </si>
  <si>
    <t>中信证券自营</t>
  </si>
  <si>
    <t>中信证券自营（CITIC Prop）是中信证券主要的权益自营业务部门，中信自营坚持以业内具备影响力的投研能力为支撑，以获得绝对收益的优良业绩为目标，形成深入全面、前瞻客观的研究理念与多样化、多策略的投资交易风格。中信自营投资业务资金管理规模达到7,170亿人民币</t>
  </si>
  <si>
    <t>2.3万亿人民币</t>
  </si>
  <si>
    <t>2,220亿美元</t>
  </si>
  <si>
    <t>威灵顿</t>
  </si>
  <si>
    <t>威灵顿（Wellington）是一家美国私人投资产管理理公司，旗下管理价值超过1万亿美元的资产。公司作为全球领先的独立资产管理机构，凭借独立经营架构赋予的独特优势，始终秉持长远视角与创新精神，在市场波动中把握逆向投资机遇。自1928年创立以来，公司持续推动投资理念的演进，通过鼓励多元视角与深度思辨，为客户及其受益人创造更卓越的投资决策。公司以深度研究为基石，将长远视角融入投资流程，构建覆盖全资产类别的解决方案，致力于在不同市场周期中实现持续价值创造</t>
  </si>
  <si>
    <t>国际长线</t>
  </si>
  <si>
    <t>IDG资本（IDG Capital）是中国最早的风险投资机构之一，成立于1993年，总部位于北京，专注于投资中国技术型企业及创新驱动企业，管理美元与人民币基金，覆盖初创期至并购期全阶段投资。‌截至2025年，其全球投资企业超1,000家，其中150余家通过上市或并购退出，代表性案例包括腾讯、百度、小米、美团、哔哩哔哩等。资产管理规模约为200亿美元</t>
  </si>
  <si>
    <t>高毅资产（Perseverance Asset Management）是一家由资深基金经理创立的证券类私募股权管理公司，专注于公开市场投资。公司以基本面研究和产业研究为核心，秉持长期投资、价值投资和责任投资理念，致力于为客户实现长期投资目标。高毅倡导"求真知"的投研文化，注重深度分析和前瞻性研究，挖掘价值创造的长期机会，通过投资支持优秀企业发展。其港股基石投资案例包括宁德时代和先瑞达医疗-B。资产管理规模约2,800亿人民币</t>
  </si>
  <si>
    <t>宁远资本（Protium Capital）是一家专注于中国市场的新锐美元私募股权，业绩在中国区基金排名前10%，基于深度基本面研究，兼顾价值和成长型投资，聚焦消费、工业和科技领域投资，创始团队包括高瓴资本前基金经理、加拿大顶级公募基金亚洲区创始人、沃顿商学院MBA等资深人士。</t>
  </si>
  <si>
    <t>上海和谐汇一（Visione Asset）成立于2020年6月19日，由国内价值投资的领军人物林鹏先生发起创立，是一家私募股权管理服务商，专注于权益类二级市场投资，重点研究企业的商业模式和核心竞争力，在需求端优选赛道，青睐适应国民经济发展方向的行业，在供给端重视竞争格局，青睐市场化行业，跨市场捕捉多元化投资机会</t>
  </si>
  <si>
    <t>聚鸣投资（Intewise Capital）是国内知名的私募股权管理公司，规模和业绩均处于行业前列，多次获得金牛奖、英华奖、金阳光等行业标杆奖项。公司研究覆盖研究覆盖制造业、科技、消费、医药等多个细分领域。公司凝聚了来自于公募基金、知名券商的优秀投研人才。公司践行绝对收益的投资理念，以“逆向投资”、“成长投资”为基础，通过多策略的方式实现收益和风险的平衡，致力于为投资者实现资产的稳健增值。</t>
  </si>
  <si>
    <t>青岛鹿秀（RoadShow Investment）是一家专业的私募证券基金管理公司，成立于2016年。2024年在管资产规模50亿元。策略包含一级半对冲策略、指数增强策略、复合套利策略、高收益债策略，遵循“赔率守正、投行出奇”的投资理念，专业服务机构投资人及高净值人群，提供定制化的资产配置方案。鹿秀投资于2017年9月取得证券类私募股权管理人资质，2020年5月取得基金业协会观察会员资格，2023年3月取得资产管理投顾资格，2024年取得QDLP（跨境投资）资格</t>
  </si>
  <si>
    <t>中欧基金（Zhong Ou Asset Management）成立于2006年7月，是经中国证监会批准的公募基金管理公司。目前下设中欧财富、中欧盛世、中欧私募股权、中欧基金国际4家子公司，公司及子公司业务范围覆盖境内外的公募基金、专户业务、私募业务、投顾业务等，构建起以主动投资为主的多策略资产管理平台。中欧基金坚持基于基本面研究的长期投资理念，汇聚投资研究团队，建立了研究驱动、团队协同的“1C+5P”投研模式，致力于为投资人获取超越市场的长期回报</t>
  </si>
  <si>
    <t>迎水投资（Yingshui Investment）成立于2015年6月11日，总部位于上海市崇明区新村乡。公司于2015年9月成为中国证券投资基金业协会登记的私募股权管理人，主要从事证券投资和资产管理业务。截至2025年，公司管理基金超498只，对外投资企业8家，涉及新材料、智能制造等领域。其核心策略为股票多头策略，主要投资方向为价值投资、低风险投资、套利交易，打新是迎水增厚收益的方式之一</t>
  </si>
  <si>
    <t>偕沣资产管理（Shanghai Share-Fortune Asset Management）成立于2014年2月26日，是一家以资产管理、投资产管理理为核心业务的私募股权管理机构。公司擅长于深度价值股投资和成长股投资，通过对行业和公司深度研究、对宏观大势独特理解，保证每笔投资都有“深度安全边际”，从而实现为投资人赚取最佳风险收益比的业绩目标。公司投资团队专注于高端制造、医药、TMT和现代服务业等四大子领域寻找投资机会，秉承研究创造价值的信念，为投资者实现财富增值。目前，其资产管理规模约为15亿人民币。</t>
  </si>
  <si>
    <t>东源投资是由苏州国信金融投资集团与业内资深人士基于共同的经营理念而成立的一家专业从事资产管理和投资咨询等业务的综合性投资产管理理机构，在中国证券投资基金业协会登记为私募证券类基金管理人，为基金业协会的普通会员，于2019年取得基金业协会的提供投资建议条件的第三方机构资格，2020年成为首批进入“分道制+抽查制”改革试点名单的私募股权管理公司</t>
  </si>
  <si>
    <t>量派（QuantPi）是一家运用科学技术对二级市场进行量化投资研究的量化私募股权公司。公司成立于2019年12月19日，于2020年9月取得私募股权管理人牌照，后全面转型资产管理业务，目前具备投顾资质。"高夏普、低回撤、低相关性"是量派投资最显著的特点。公司坚持追求纯Alpha收益，通过严格风控剥离市场Beta，拒绝依赖风格暴露。截至2024年10月，公司管理规模突破百亿元。</t>
  </si>
  <si>
    <t>前海辰星（Qianhai Starlight Capital）私募证券投资基金管理合伙企业（有限合伙） 成立于2016年1月，总部位于深圳，是一家专注于私募证券投资基金管理业务的资产管理机构。公司在投资产管理理上秉持“价值投资、稳健增值”的理念，致力于为客户提供专业化、多元化的私募股权产品与服务。依托团队成员在知名投行、银行、科技企业及券商等机构的丰富从业经验（平均从业年限超过10年），公司构建了以股票策略为核心、覆盖全球市场的投资产管理理体系。</t>
  </si>
  <si>
    <t>JP摩根资管</t>
  </si>
  <si>
    <t>JP摩根资产管理（J.P. Morgan Asset Management）隶属于摩根大通集团，是全球领先的综合性资产管理机构之一，为机构投资者、零售客户及高净值客户提供多元化投资解决方案。公司业务覆盖全球主要市场，投资范围涵盖股票、固定收益、多资产、房地产、对冲基金、私募股权及流动性管理等主要资产类别。截至2025年中，摩根资产管理全球管理规模约为3.9万亿美元，在全球资产管理行业中位居前列</t>
  </si>
  <si>
    <t>新华资产管理（New China Asset Management）是2006年5月成立的专业资产管理公司，主要经营自有资金及保险资金、受托资金管理业务、与资金管理业务相关的咨询业务以及其他资产管理业务，是股票市场、基金市场、债券市场等资本市场上的大型机构投资者。截至2022年9月，管理的资产规模超过1.8万亿人民币</t>
  </si>
  <si>
    <t>约11亿美金</t>
  </si>
  <si>
    <t>38亿美元</t>
  </si>
  <si>
    <t>2.4万亿人民币</t>
  </si>
  <si>
    <t>约2,086亿美元</t>
  </si>
  <si>
    <t>国华人寿保险股份有限公司（Guohua Life)成立于2007年11月，总部位于上海，是一家经原中国银保监会批准设立的全国性股份制专业寿险公司。截至2023年末，公司资产管理规模近3,000亿人民币，净资产超260亿元，综合实力稳健。公司以银行保险、互联网为主渠道，在全国设立18家省级分公司，形成覆盖广泛的服务网络；构建自主投资、专业保险资管与第三方委托相结合的投资体系，旗下国华兴益保险资产管理公司推动资管业务专业化升级。秉持“让每个家庭拥有保障和幸福”的使命，坚持稳健经营、服务民生与实体经济，积极履行社会责任。</t>
  </si>
  <si>
    <t>近3,000亿人民币</t>
  </si>
  <si>
    <t>2.1万亿人民币</t>
  </si>
  <si>
    <t>马来亚银行资产管理集团（“MAMG”）是本地行业先驱之一，拥有超过30年的亚洲市场专业经验，如今提供全球解决方案。公司是马来亚银行集团有限公司的全资子公司，这使公司拥有得天独厚的优势，背后有全球排名前20的实力银行之一的支持。公司的客户群体包括企业和机构投资者、高净值人士以及大众零售投资者。公司提供超过300种投资策略，投资者可以投资于全方位的资产类别，基金选择涵盖传统基金、伊斯兰基金、符合ESG标准的基金、退休解决方案基金以及房地产相关基金和瓦克夫基金。</t>
  </si>
  <si>
    <t>2.8亿马币</t>
  </si>
  <si>
    <t>8,000亿美元</t>
  </si>
  <si>
    <t>1.6万亿美元</t>
  </si>
  <si>
    <t>中环IFC国际金融中心二期27楼，2701-2705</t>
  </si>
  <si>
    <t>· 
1.8万亿人民币</t>
  </si>
  <si>
    <t xml:space="preserve">
约30亿人民币</t>
  </si>
  <si>
    <t>约104亿美元</t>
  </si>
  <si>
    <t>· 
6,400亿人民币</t>
  </si>
  <si>
    <t>约1.6万亿美元</t>
  </si>
  <si>
    <t>1 Hillhouse 高瓴 </t>
  </si>
  <si>
    <t>11 Harvest 嘉实 </t>
  </si>
  <si>
    <t>2 Tencent 腾讯 </t>
  </si>
  <si>
    <t>12 Temasek 淡马锡 </t>
  </si>
  <si>
    <t>3 Blackrock 贝莱德 </t>
  </si>
  <si>
    <t>13 Eastsprings 瀚亚投资 </t>
  </si>
  <si>
    <t>4 诚通/国调/混改 </t>
  </si>
  <si>
    <t>14 Mirae 未来集团 </t>
  </si>
  <si>
    <t>5 Greenwoods 景林 </t>
  </si>
  <si>
    <t>15 Allianz 安联环球 </t>
  </si>
  <si>
    <t>6 Taikang 泰康保险 </t>
  </si>
  <si>
    <t>16 UBS GAM/O'Connor 瑞银资管/O‘Connor </t>
  </si>
  <si>
    <t>7 Perseverance 高毅资产 </t>
  </si>
  <si>
    <t>17 Infini 无极资本 </t>
  </si>
  <si>
    <t>8 CPE 中信产业基金 </t>
  </si>
  <si>
    <t>18 Pinpoint 保银投资 </t>
  </si>
  <si>
    <t>9 Fullgoal 富国（含香港&amp;上海） </t>
  </si>
  <si>
    <t>19 Verition </t>
  </si>
  <si>
    <t>10 GF Funds 广发基金 </t>
  </si>
  <si>
    <t>20 E Fund 易方达 </t>
  </si>
  <si>
    <t>银河</t>
  </si>
  <si>
    <t>1 Schroders 施罗德</t>
  </si>
  <si>
    <t>2 JPM AM 摩根大通资管</t>
  </si>
  <si>
    <t>3 IDG/Enreal/ARC</t>
  </si>
  <si>
    <t>4 Boyu 博裕资本</t>
  </si>
  <si>
    <t>5 Barings 霸菱</t>
  </si>
  <si>
    <t>6 Millennium</t>
  </si>
  <si>
    <t>7 Jane street</t>
  </si>
  <si>
    <t>8 North Rock</t>
  </si>
  <si>
    <t>9 Marshall Wace</t>
  </si>
  <si>
    <t>10 FIL</t>
  </si>
  <si>
    <t>Bank3</t>
  </si>
  <si>
    <t>Bank4</t>
  </si>
  <si>
    <t>Bank5</t>
  </si>
  <si>
    <t>UBS AM</t>
  </si>
  <si>
    <t>HSBC AM</t>
  </si>
  <si>
    <t>汇丰资产管理（HSBC AM）是全球领先的系统性重要资产管理机构，总部位于伦敦，截至2025年3月底，全球客户管理的资产高达7,480亿美元，该公司业务遍及23个国家和地区，拥有660多名投资专业人士，当中包括部分全球最大机构投资者，以至商业和企业客户、金融中介、零售和私人银行客户
汇丰资产管理运用深入的全球专业知识，提供专家意见和专业投资策略，旨在为投资者提供可持续投资机会，目标是透过为客户管理风险与投资表现来实现长期价值，协助投资者通过一系列投资方案和策略使资产增值，从而达到不同投资目标，包括运用在股票、固定收益、多元资产、流动性和另类投资等范畴内的专业知识</t>
  </si>
  <si>
    <t>嘉实香港</t>
  </si>
  <si>
    <t>HGI</t>
  </si>
  <si>
    <t>嘉实基金成立于 1999 年 3 月，是国内最早成立的 10 家基金管理公司之一，于 2002 年底被选为全国首批投资管理人。2005 年 6 月，德意志资产管理公司参股嘉实，使嘉实成为目前国内最大的合资基金公司之一。嘉实现已发展为具有“全牌照”业务的综合性国际化资产管理集团，投研能力已覆盖精品股票、基石固收、Super ETF、海外投资、资产配置等五大方面。嘉实基金同时积极布局海外业务，母公司及子公司服务欧美亚多个国家和地区的主权基金、央行、养老金、银行、资产管理公司、证券公司等。</t>
  </si>
  <si>
    <t>张琴（投资经理）</t>
  </si>
  <si>
    <t>约1.57万亿人民币</t>
  </si>
  <si>
    <t>Helper Column</t>
  </si>
  <si>
    <t>CMS</t>
  </si>
  <si>
    <t>80亿人民币</t>
  </si>
  <si>
    <r>
      <t>WT</t>
    </r>
    <r>
      <rPr>
        <sz val="10"/>
        <color theme="1"/>
        <rFont val="KaiTi"/>
        <charset val="134"/>
      </rPr>
      <t>资管</t>
    </r>
  </si>
  <si>
    <r>
      <t>1</t>
    </r>
    <r>
      <rPr>
        <sz val="10"/>
        <color theme="1"/>
        <rFont val="KaiTi"/>
        <charset val="134"/>
      </rPr>
      <t>对</t>
    </r>
    <r>
      <rPr>
        <sz val="10"/>
        <color theme="1"/>
        <rFont val="Arial"/>
        <family val="2"/>
      </rPr>
      <t>1</t>
    </r>
  </si>
  <si>
    <r>
      <t>Katherine</t>
    </r>
    <r>
      <rPr>
        <sz val="10"/>
        <color theme="1"/>
        <rFont val="KaiTi"/>
        <charset val="134"/>
      </rPr>
      <t>（合伙人）</t>
    </r>
    <r>
      <rPr>
        <sz val="10"/>
        <color theme="1"/>
        <rFont val="Arial"/>
        <family val="2"/>
      </rPr>
      <t xml:space="preserve">
Marvin</t>
    </r>
    <r>
      <rPr>
        <sz val="10"/>
        <color theme="1"/>
        <rFont val="KaiTi"/>
        <charset val="134"/>
      </rPr>
      <t>（分析师）</t>
    </r>
    <r>
      <rPr>
        <sz val="10"/>
        <color theme="1"/>
        <rFont val="Arial"/>
        <family val="2"/>
      </rPr>
      <t xml:space="preserve">
Jane</t>
    </r>
    <r>
      <rPr>
        <sz val="10"/>
        <color theme="1"/>
        <rFont val="KaiTi"/>
        <charset val="134"/>
      </rPr>
      <t>（分析师）</t>
    </r>
    <r>
      <rPr>
        <sz val="10"/>
        <color theme="1"/>
        <rFont val="Arial"/>
        <family val="2"/>
      </rPr>
      <t xml:space="preserve">
</t>
    </r>
    <r>
      <rPr>
        <sz val="10"/>
        <color theme="1"/>
        <rFont val="KaiTi"/>
        <charset val="134"/>
      </rPr>
      <t>孙然（基金经理）</t>
    </r>
    <r>
      <rPr>
        <sz val="10"/>
        <color theme="1"/>
        <rFont val="Arial"/>
        <family val="2"/>
      </rPr>
      <t xml:space="preserve">
Zhang Qin</t>
    </r>
    <r>
      <rPr>
        <sz val="10"/>
        <color theme="1"/>
        <rFont val="KaiTi"/>
        <charset val="134"/>
      </rPr>
      <t>（基金经理）</t>
    </r>
    <r>
      <rPr>
        <sz val="10"/>
        <color theme="1"/>
        <rFont val="Arial"/>
        <family val="2"/>
      </rPr>
      <t xml:space="preserve">
</t>
    </r>
    <r>
      <rPr>
        <sz val="10"/>
        <color theme="1"/>
        <rFont val="KaiTi"/>
        <charset val="134"/>
      </rPr>
      <t>翟放（行业研究员）</t>
    </r>
  </si>
  <si>
    <r>
      <t>余文俊（研究主管）</t>
    </r>
    <r>
      <rPr>
        <sz val="10"/>
        <color theme="1"/>
        <rFont val="Arial"/>
        <family val="2"/>
      </rPr>
      <t xml:space="preserve">
</t>
    </r>
    <r>
      <rPr>
        <sz val="10"/>
        <color theme="1"/>
        <rFont val="KaiTi"/>
        <charset val="134"/>
      </rPr>
      <t>周润南（研究员）</t>
    </r>
    <r>
      <rPr>
        <sz val="10"/>
        <color theme="1"/>
        <rFont val="Arial"/>
        <family val="2"/>
      </rPr>
      <t xml:space="preserve">
Christine Sun</t>
    </r>
    <r>
      <rPr>
        <sz val="10"/>
        <color theme="1"/>
        <rFont val="KaiTi"/>
        <charset val="134"/>
      </rPr>
      <t>（研究员）</t>
    </r>
    <r>
      <rPr>
        <sz val="10"/>
        <color theme="1"/>
        <rFont val="Arial"/>
        <family val="2"/>
      </rPr>
      <t xml:space="preserve">
</t>
    </r>
  </si>
  <si>
    <r>
      <t>梁启正（董事总经理）</t>
    </r>
    <r>
      <rPr>
        <sz val="10"/>
        <color theme="1"/>
        <rFont val="Arial"/>
        <family val="2"/>
      </rPr>
      <t xml:space="preserve">
Felix Huang</t>
    </r>
    <r>
      <rPr>
        <sz val="10"/>
        <color theme="1"/>
        <rFont val="KaiTi"/>
        <charset val="134"/>
      </rPr>
      <t>（权益投资部主管）</t>
    </r>
  </si>
  <si>
    <t>3W Fund是一家从事大中华地区证券市场投资的对冲基金管理公司，成立于2012年，以自主研究力量进行深入基本面分析，专业从事大众化地区股票市场投资。3W专注于中国成长公司，为其提供成长和转型资本，帮助产业领袖实现新的高度，从而为投资者发现、创造和实现价值。3W以严谨的研究以及乐观的态度，积极发现并投资于能够改善推动社会发展，并在这个过程中不断壮大的公司。主要关注板块包括高端技术、医药、消费以及金融服务等。管理资产规模约30~40 亿美金。</t>
  </si>
  <si>
    <t>曦智科技-P、华勤技术、长光辰芯、思格新能、兆易创新、智谱、壁仞科技、纳芯微、剑桥科技、聚水潭、FORTIOR、三花智控、泉峰控股、心玮医疗-B、心通医疗-B、医渡科技、和铂医药- B、金科服务、卓越商企服务、嘉和生物- B、思摩尔国际、海普瑞</t>
  </si>
  <si>
    <t>百域資本（About Capital）是一家专注于亚洲市场的对冲基金公司。重点是管理其“About Capital Asian Special Opportunities Fund”基金，该基金采用多策略，包括基本面多空、事件驱动、资本结构和交易等策略。他们的核心理念是追求与主要市场走势不相关的回报，并通过将基本面分析与量化风险管理相结合来优化风险与收益的平衡。目前，该基金管理的资产规模约为2亿美元。</t>
  </si>
  <si>
    <t>修远资本（ACCF Capital）是一家成立于 2021 年、专注于亚太地区消费与科技投资的投资机构。投资策略上，公司以成长型股权投资为主，依托深度行业研究及产业资源赋能，重点寻找具备品牌力、渠道力及长期成长潜力的企业。偏好行业主要包括消费、零售、互联网科技及相关新消费赛道。</t>
  </si>
  <si>
    <t>Vicky（董事总经理）、孙睿博（副总裁）、李婷雨（投资经理）</t>
  </si>
  <si>
    <t>毅达资本（Addor Capital）是一家成立于2014年、总部位于南京的综合性创业投资机构。投资策略上，公司以创业投资和全生命周期股权投资为主，覆盖天使期至成熟期企业，并注重产业链深度布局。偏好行业主要包括清洁技术、健康产业、新材料等领域。截止到2024年底，管理资产规模超1000亿人民币。</t>
  </si>
  <si>
    <t>兴证全球基金管理有限公司成立于 2003 年 9 月 30 日，是一家由兴业证券控股、全球人寿保险国际公司参股的中外合资公募基金管理公司。投资策略上，公司坚持长期投资、价值投资和风险控制并重，并奉行“精品策略”，专注于提升优质投资管理能力。偏好领域以权益类资产及相关主动管理业务为主，并覆盖多元配置等产品方向。投资者类型属于中资长线。截止到2025年9月30日，管理资产规模超7936.63 亿元人民币。</t>
  </si>
  <si>
    <t>Affin Hwang Asset Management是一家成立于 2001 年、总部位于马来西亚的独立资产管理机构。投资策略上，公司以主动管理和多元资产配置为核心，产品覆盖股票、固定收益、多元资产及伊斯兰金融等方向，并服务企业、机构、养老金、政府关联机构、高净值客户及零售投资者。偏好领域主要包括股票、债券及多元资产配置相关投资机会。投资者类型属于外资长线。截止到2025年12月31日，总资产管理规模为 1,015 亿林吉特。</t>
  </si>
  <si>
    <t>AIHC Capital Management Limited 是一家专注于全球医疗健康领域的香港持牌资产管理机构。投资策略上，公司围绕医疗健康赛道的专题研究与投资展开，重点关注能够满足未被满足医疗需求、提升医疗体系效率的创新机会，并倾向与优质企业家长期合作。偏好行业主要包括创新药、医疗器械、医疗服务及其他医疗健康相关领域。投资者类型属于私募股权。</t>
  </si>
  <si>
    <t>青岛天诚股权投资基金管理有限公司（Allegiance Fund）是一家成立于2017年6月的私募股权投资基金管理机构。投资策略上，公司以价值投资和风险控制为核心，主要通过股权投资及基金管理支持企业融资与发展。偏好领域可概括为区域成长型企业及产业升级相关投资机会。投资者类型为私募股权。</t>
  </si>
  <si>
    <t>安联投资（Allianz Global Investors）是一家全球领先的主动资产管理机构。投资策略上，公司以主动管理为核心，覆盖股票、固定收益、多资产及私募市场等策略，并依托全球研究平台为机构及零售客户提供投资解决方案。偏好领域主要包括公开市场股票和债券、多资产配置及私募市场相关机会。投资者类型属于外资长线。截止到2025年12月31日，管理资产规模为5,910亿欧元。</t>
  </si>
  <si>
    <t>Alpine Investment Management Limited 是一家总部位于香港的资产管理机构。投资策略上，公司采取以中国主题股票投资为核心、并叠加全球宏观视角的投资框架，重点关注中国市场相关的权益投资机会。投资者类型属于多策略基金。</t>
  </si>
  <si>
    <t>剑桥科技</t>
  </si>
  <si>
    <t>AM Squared Limited 是一家总部位于香港的投资基金管理机构。投资策略上，公司采用系统化与基本面相结合的方法，在亚太地区广泛资产类别中开展流动性相对价值投资。偏好领域可概括为亚太市场多资产相对价值机会。投资者类型属于多策略基金。</t>
  </si>
  <si>
    <t>Amova Asset Management 是一家总部位于日本、具全球布局的资产管理机构。投资策略上，公司以高确信度主动管理为核心，覆盖股票、固定收益、多资产及另类投资等策略，同时提供涵盖广泛指数及亚洲领先 ETF 的被动投资产品。偏好领域主要包括股票、固定收益、多资产配置及 ETF 等方向。投资者类型属于国际长线。截止到2025年12月31日，管理资产规模为：2,743 亿美元。</t>
  </si>
  <si>
    <t>东方汇理（Amundi）是一家总部位于法国巴黎的全球资产管理机构。投资策略上，公司提供覆盖股票、固定收益、多资产及被动投资等领域的综合性投资解决方案，并结合全球研究平台开展自上而下与自下而上的投资研究。偏好领域主要包括全球股票、固定收益及多资产配置等方向。投资者类型属于外资长线。截止到2025年12月31日，管理资产规模为2.38万亿欧元。</t>
  </si>
  <si>
    <t>和铂医药-B、海普瑞</t>
  </si>
  <si>
    <t>AP Asset Management 是一家成立于 2018 年、覆盖一级及二级市场的多元资产管理平台。投资策略上，公司以深度基本面研究为核心，结合自上而下的宏观判断与跨资产类别灵活配置，积极参与海外中资企业 IPO 基石/锚定投资、港美股大宗交易、A/H 股定增、GDR、SPAC 及母基金投资。偏好领域主要包括互联网/科技、医疗健康、消费及其他结构性成长赛道。投资者类型为私募股权。管理资产规模超过30亿美元。</t>
  </si>
  <si>
    <t>Areca Capital 是一家成立于 2006 年、总部位于马来西亚的私人财富管理机构。投资策略上，公司以基金管理及财富顾问服务为核心，注重长期、稳健的风险调整后回报，并为个人、企业、家族及机构客户提供资产配置与投资解决方案。偏好领域主要包括股票、固定收益及多资产配置等方向。投资者类型为国际长线。截止到2026年3月，管理资产规模约 50 亿林吉特。</t>
  </si>
  <si>
    <t>动域资本（The Arena Capital）是一家成立于 2015 年、总部位于上海的创业投资及私募股权投资机构。投资策略上，公司以股权投资为主，重点围绕体育产业展开布局，并关注与体育相关的科技、媒体及消费服务机会。偏好行业主要包括体育、科技、媒体及相关消费赛道。投资者类型为私募股权。</t>
  </si>
  <si>
    <t>弘盛资本（Ariose Capital Management Limited）是一家总部位于香港、专注中国主题股票投资的投资管理机构。投资策略上，公司以long/short equity为核心，重点通过基本面研究挖掘中国及大中华区权益市场的投资机会。偏好领域主要包括中国消费、互联网科技及其他大中华区上市股票相关机会。投资者类型为国际长线。</t>
  </si>
  <si>
    <t>Artisan Partners 是一家成立于 1994 年的全球多资产资产管理公司。投资策略上，公司专注于主动型、高附加值投资策略，由自治型投资团队基于清晰、可复制的投资流程开展管理，覆盖不同市值、区域及投资风格。偏好领域主要包括全球股票、信用及其他成长型资产类别。投资者类型属于外资长线。截止到2026年3月31日，管理资产规模为1730亿美元。</t>
  </si>
  <si>
    <t>思柏投资（Aspex Management）是一家成立于 2018 年、总部位于香港的投资管理机构。投资策略上，公司以深入基本面研究和长期投资视角为核心，专注于泛亚地区公开及私募股权市场的投资机会。偏好领域主要包括泛亚地区优质企业及结构性成长机会。投资者类型为多策略基金。</t>
  </si>
  <si>
    <t>曦智科技-P、先导智能、澜起科技、MINIMAX-P、壁仞科技、极兔速递-W、微创机器人-B、心玮医疗-B、金科服务、合景悠活、启明医疗-B</t>
  </si>
  <si>
    <t>里思基金（广州市里思私募证券投资基金管理有限公司）是一家成立于 2017 年的私募证券投资基金管理机构。投资策略上，公司以深度研究驱动的股票投资为核心，依托具备多年证券市场经验的投研团队进行基本面研究和组合管理。偏好行业主要包括 TMT、消费、高端制造、非银金融、传媒及互联网科技等领域。投资者类型为中资长线。管理资产规模超过10亿元人民币。</t>
  </si>
  <si>
    <t>Athos Capital 是一家成立于 2011 年的投资管理机构。投资策略上，公司采取多策略投资框架，重点覆盖公开市场事件驱动及战术性阿尔法机会，并致力于为客户创造长期、可持续回报。偏好领域主要包括事件驱动及特殊机会相关投资。投资者类型属于多策略基金。</t>
  </si>
  <si>
    <t>百利天恒、小马智行-W、华润饮料、美的集团、万物云、万物云、雍禾医疗、三叶草生物- B、先瑞达医疗- B、康圣环球、腾盛博药- B、归创通桥- B、嘉和生物-B、诺诚健华-B、康龙化成</t>
  </si>
  <si>
    <t>Avanda Investment Management 是一家总部位于新加坡的全球资产管理机构。投资策略上，公司覆盖全球多资产、亚洲股票及全球固定收益三大策略，其中亚洲股票策略以基本面驱动的自下而上选股为核心，全球固定收益策略依托宏观分析进行跨板块配置，全球多资产策略则投资于发达及新兴市场的公开债券、股票及货币。偏好领域主要包括亚洲优质上市公司、全球固定收益及跨资产配置机会。投资者类型属于国际长线。</t>
  </si>
  <si>
    <t>Baillie Gifford 是一家成立于 1908 年、总部位于英国爱丁堡的全球资产管理公司。投资策略上，公司以长期主动投资为核心，覆盖股票、固定收益及多资产等策略，并以研究驱动的投资方法挖掘具备长期增长潜力的企业和资产。偏好领域主要包括全球股票、固定收益及多资产配置机会。投资者类型属于国际长线。截止到2026年3月31日，管理资产规模为236.7 亿美元。</t>
  </si>
  <si>
    <t>曦智科技-P、紫金黄金国际</t>
  </si>
  <si>
    <t>Balyasny Asset Management 是一家全球多策略资产管理机构。投资策略上，公司通过多策略框架开展投资，核心覆盖 Equities L/S、Fixed Income &amp; Macro、Commodities、Multi-Asset Arbitrage 及 Systematic 等方向，致力于在不同市场环境下实现稳定、低相关性回报。偏好领域主要包括股票多空、固定收益与宏观、大宗商品、多资产套利及系统化交易等。投资者类型属于多策略基金。截止到2026年4月1日，管理资产规模为340亿美元。</t>
  </si>
  <si>
    <t>宝业集团（Baoye Group）是一家成立于 1974 年、于 2003 年在香港联交所主板上市的综合性建筑企业。业务布局主要涵盖建筑施工、房地产开发及建筑材料/住宅产业化等领域。投资者类型为企业投资人。</t>
  </si>
  <si>
    <t>霸菱资产管理（Barings）是一家全球另类资产管理机构，为 MassMutual 旗下子公司。投资策略上，公司依托全球平台，重点布局信贷、实物资产及资本解决方案等领域，并服务机构、保险及财富管理客户。偏好领域主要包括私募信贷、固定收益、房地产、基础设施及 specialist equity/capital solutions 等方向。投资者类型为国际长线。截止到2026年3月31日，管理资产规模为4,810 亿美元。</t>
  </si>
  <si>
    <t>思格新能、广合科技、澜起科技、剑桥科技、永达汽车</t>
  </si>
  <si>
    <t>BFAM Partners 是一家成立于 2012 年、总部位于香港的投资管理机构。投资策略上，公司以多策略绝对收益为核心，结合基本面研究、交易能力及技术工具开展投资，重点覆盖信用、可转债、利率、外汇、波动率及股票等方向。偏好领域主要包括亚洲市场中的信用及多资产交易机会。投资者类型属于多策略基金。</t>
  </si>
  <si>
    <t>贝莱德（BlackRock）是一家成立于 1988 年的全球资产管理机构。投资策略上，公司依托全球研究与资产配置能力，覆盖主动管理、指数投资、私募市场及现金管理等多元策略，并为机构及零售客户提供投资、顾问及风险管理解决方案。偏好领域主要包括全球股票、固定收益、多资产、私募市场及 ETF 等方向。投资者类型属于国际长线。截止到2025年12月31日，管理资产规模为14万亿美元。</t>
  </si>
  <si>
    <t>中国人寿养老保险股份有限公司成立于2007年1月15日，是由中国人寿保险（集团）公司、中国人寿保险股份有限公司及中国人寿资产管理有限公司共同设立的国有企业，2014年引入战略投资者 。公司总部位于北京市西城区金融大街12号，法定代表人为余贤群。主要经营企业年金管理、团体及个人养老保险业务，拥有企业年金受托人、账户管理人和投资管理人资格。截至2025年底，管理养老金资产规模近2.4万亿元，其中企业年金和职业年金管理累计规模超2.2万亿元，管理资产总规模在行业中居于前列。</t>
  </si>
  <si>
    <t>王亚男（股权衍生品条线总监）
李晨阳（投资总监）
刘腾翔（投资经理）</t>
  </si>
  <si>
    <t>"中环皇后大道中15号置地广场York House19楼</t>
  </si>
  <si>
    <t>富达</t>
  </si>
  <si>
    <t>富达（FMR）是拥有超过50年历史的投资公司，富达国际的业务遍布全球超过25个地区，总资产达7,676亿美元，服务的客户包括中央银行、主权财富基金、大型企业、金融机构、保险公司、财富管理公司及个人投资者</t>
  </si>
  <si>
    <t>富德资产管理(香港)有限公司(Funde Asset Management (Hong Kong) Limited)，是经监管机构批准设立在境外的专业保险资产管理机构，资产管理规模254亿港元。公司立足香港、辐射全球，为集团的境外资产配置提供全方位的优质服务。</t>
  </si>
  <si>
    <t>徐浩林（国华兴益权益总监）、孙玥（国华研究员）</t>
  </si>
  <si>
    <t>2026年1月28日</t>
  </si>
  <si>
    <t>工银理财有限责任公司（ICBC WM）2019年5月在北京成立，为中国工商银行全资子公司。公司主营公开发行、非公开发行理财产品及投资管理、理财顾问咨询等业务，建立规范高效的现代金融治理架构。以“稳鑫智远”为产品品牌，构建大类资产配置与多元策略投研体系，全面覆盖多类资产，严守风险管理与合规运营。公司坚守服务实体经济、防控金融风险，致力于打造国内领先、国际一流的银行系资管机构。</t>
  </si>
  <si>
    <t>230 億美元</t>
  </si>
  <si>
    <t>2026年1月29日</t>
  </si>
  <si>
    <t>梁启正（MD）
Felix Huang（权益投资部主管）</t>
  </si>
  <si>
    <t>广西国投（SDIC Guang Xi）成立于2022年5月30日，前身是成立于2016年1月14日的国投广西风电有限公司，是国投电力控股股份有限公司的全资子公司和重点推进区域性新能源公司之一，开发建设了国投在桂第一个风电项目（浦北龙门风电场），主要负责运营管理国投电力在广西、海南的新能源项目，目前受委托管理国投广西风电有限公司等项目公司16家，管理运营投产项目130万千瓦以上、在建及取得开发指标待建项目约210万千瓦，资产总额约65亿人民币</t>
  </si>
  <si>
    <t>姜沛易（董事總經理/合夥人）</t>
  </si>
  <si>
    <t>Grace DU（MD）</t>
  </si>
  <si>
    <t>瑞银资产管理（UBS GAM）隶属于瑞银集团，是其旗下财富管理、资产管理、投资银行等三大业务板块之一。瑞银资产管理是全球不到30家万亿美元资产管理俱乐部成员之一，也是全球增长最快的可持续投资策略管理人之一。瑞银资产管理在全球23个市场设有办公室，进入中国市场已有20余年。截至2023年，瑞银资产管理旗下管理规模约1.6万亿美元。</t>
  </si>
  <si>
    <t>LONG Hao（MD）</t>
  </si>
  <si>
    <t>瓴仁投资（上海瓴仁私募基金管理合伙企业） 成立于2021年7月6日，总部位于上海，是知名投资机构高瓴（Hillhouse）旗下专注于二级市场证券投资的独立平台，于2021年8月20日在中国证券投资基金业协会完成登记备案。公司在投资管理上秉持“具有全球视野的长期价值投资”理念，遵循投资的本质逻辑，以长期基本面驱动为基础，通过对全球行业规律及其变革要素与时点的深刻洞察，聚焦具有长期持续结构性竞争优势的业务模式。
瓴仁投资核心投资团队成员经过多年发展和不断完善，建立了一套独特而系统的价值投资方法论以及跨时间、跨阶段、跨行业、跨地域的研究体系，在客观合理判断每一项投资机会时审慎评估风险因素，为整个投资组合构建足够的安全边际。公司高度注重与投资人的长期利益一致性，始终致力于为投资人创造卓越而稳定的风险调整后的长期投资收益。</t>
  </si>
  <si>
    <t>青岛英轩由山东英轩集团投资设立，后续拟作为核心投资主体，全面主导集团各类项目投资。英轩集团始创于1996年，总部位于山东省潍坊市昌乐县，是以高端食品工业、机械装备制造、现代化工业产业园区和进出口贸易为主的多元化控股集团，集团成员企业先后荣获“国家制造业单项冠军企业、国家绿色工厂、中国柠檬酸特色产业基地核心企业、发酵行业十强企业、中国民营企业制造业500 强、中国轻工业百强企业、国家级高新技术企业“等荣誉。资产管理规模约50亿人民币。</t>
  </si>
  <si>
    <t>重阳投资成立于2001年，是国内最早一批阳光私募基金管理人，后于2009年6月正式成立上海重阳投资管理股份有限公司，专注资产管理业务。公司自成立起即采用合伙模式经营，秉持“客户利益第一”的核心原则，立足“价值投资、绝对收益”的投资理念，致力于发掘具有长期可持续竞争力的优秀企业。通过严谨的风险管理体系——将风险防范置于首位，在此基础上兼顾组合的盈利空间和流动性，旨在控制基金产品净值波动和最大回撤——重阳投资依托一支理论功底扎实、实战经验丰富的投研团队（超过30人），运用规范化的金融工具与多基金经理共管模式，为客户实现长期可持续的资产增值。截至2026年3月，公司资产管理规模超过100亿元人民币，曾连续六年荣获中证报“金牛私募基金管理公司”奖，截至目前共14次摘得金牛奖荣誉。</t>
  </si>
  <si>
    <t>拾贝投资成立于2019年，负责管理拾贝海外基金及业务。公司在投资管理上秉持与拾贝投资一脉相承的理念，以“以合适的价格买入好人和好生意”为核心理念，遵循“精选个股、组合投资、适度集中、有限择时”的策略框架，采用“All China”视角并融合全球投资视野，通过严谨的宏观分析和自下而上的基本面精选，致力于为全球机构投资者提供穿越周期的长期稳健回报和卓越的投资体验。</t>
  </si>
  <si>
    <t>光远投资成立于2016年4月18日，前身为中国光大控股集团旗下于2001年创立的私募股权投资团队。公司在投资管理上遵循“创造价值，分享价值”的核心价值观和稳健务实的投资风格，秉持严谨的尽调标准和长期主义的耐心资本理念，致力于助推中国优秀企业持续成长并为全球投资人创造长期领先的回报回报。通过与中外优秀企业深度合作，光远投资不仅提供资本支持，还善于整合全球产业资源，成功完成多起海外私有化及并购项目投资。截至2026年4月，团队累计投资项目超过40家。资产管理规模约120亿元人民币。</t>
  </si>
  <si>
    <t>香港</t>
  </si>
  <si>
    <t>9:30-10:30</t>
  </si>
  <si>
    <t>11:00-12:00</t>
  </si>
  <si>
    <t>深圳</t>
  </si>
  <si>
    <t>蓝桥控股</t>
  </si>
  <si>
    <t>山东国惠</t>
  </si>
  <si>
    <t>交银保险资产管理有限公司是一家成立于 2019 年 6 月 18 日、由交银人寿全资控股的保险资产管理机构。投资策略上，公司围绕保险资金受托管理、自有资金运用及保险资管产品开展投资管理，重点服务长期资金配置需求。偏好领域主要包括固定收益、非标债权、基础设施债权投资计划及其他保险资金配置方向。投资者类型属于中资长线。</t>
  </si>
  <si>
    <t>交银施罗德基金管理有限公司（BOCOM Schroders）成立于 2005 年，是中国首批银行背景的中外合资基金管理公司之一。投资策略上，公司坚持价值投资理念，并结合专业研究、金融数据和量化模型挖掘非完全有效市场中的投资机会。偏好领域主要包括权益、固定收益及多资产配置等方向。投资者类型属于中资长线。</t>
  </si>
  <si>
    <t>博时基金（Bosera Fund Management）成立于1998年7月13日，是中国内地首批成立的五家基金管理公司之一。投资策略上，公司以长期投资、价值投资和主动管理为核心，覆盖公募基金、社保基金、企业年金、职业年金及特定专户等多类资产管理业务。偏好领域主要包括权益、固定收益、多资产配置及机构委托管理等方向。投资者类型属于中资长线。截止到2025年12月31日，管理资产规模逾16,746亿元人民币</t>
  </si>
  <si>
    <t>胜宏科技、鸣鸣很忙</t>
  </si>
  <si>
    <t>博裕资本（Boyu Capital）是一家成立于 2011 年、总部位于香港的另类投资机构。投资策略上，公司采用主题驱动、长期导向的投资方法，平台覆盖私募股权、公开市场股权、基础设施及风险投资等方向。偏好行业主要包括科技、消费与零售、医疗健康及可持续能源等领域。投资者类型属于私募股权。</t>
  </si>
  <si>
    <t>长光辰芯、思格新能、青瓷游戏、固生堂、微泰医疗-B、心玮医疗- B、腾岁盛博药-B、康诺亚-B、归创通桥- B、诺锼阿辉健康- B、德琪医药- B、欧隕幸康维视生物- B</t>
  </si>
  <si>
    <t>京东工业</t>
  </si>
  <si>
    <t>康圣环球、昭衍新药、高鑫零售</t>
  </si>
  <si>
    <t>乐舒适、HASHKEY HLDGS</t>
  </si>
  <si>
    <t>创新实业、万物云、堃博医疗-B、华润万象生活、 启明医疗-B</t>
  </si>
  <si>
    <t>精锋医疗-B、赛力斯、九毛九、启明医疗-B、中广核电力、赛晶电力电子、雷士照明</t>
  </si>
  <si>
    <t>中银航空租赁</t>
  </si>
  <si>
    <t>商米科技-W、长光辰芯、天数智芯、卧安机器人、顺丰房托、医渡科技、金科服务、中国科培、绿城服务、成实外教育</t>
  </si>
  <si>
    <t>壁仞科技、乐舒适、IFBH、老铺黄金、洪九果品、谭仔国际、奈雪的茶、科济药业-B、诺辉健康-B、卓越商企服务、海吉亚医疗、华荣能源、东阳光药、中国能源建设、中广核电力、中广核美亚、中国人民保险集团、中国熔盛重工</t>
  </si>
  <si>
    <t>MINIMAX-WP、天数智芯、聚水潭、紫金黄金国际、劲方医药-B、映恩生物-B、科伦博泰生物-B、先瑞达医疗-B、奈雪的茶、森松国际</t>
  </si>
  <si>
    <t>长光辰芯、迅策、卧安机器人、HASHKEY HLDGS、剑桥科技、不同集团</t>
  </si>
  <si>
    <t>胜宏科技、兆易创新、剑桥科技、鹰瞳科技- B、微创机器人-B、科济药业-B</t>
  </si>
  <si>
    <t>大湾区基金（GBA Homeland Development Fund）由国际大型产业机构、金融机构以及新经济企业联合发起成立，旗下设立大湾区共同家园发展基金，旨在把握粤港澳大湾区发展、国际科创中心建设等历史机遇，聚焦科技创新、产业升级、美好生活、智慧城市等相关领域，覆盖风险投资、私募股权投资、上市公司投资、并购投资等项目全生命周期，为优秀的创业者和企业提供资金支持、对接产业和金融资源，为股东和投资者实现长期回报，为经济和社会发展贡献积极力量。资产管理规模约600亿港元。</t>
  </si>
  <si>
    <t>TruMed</t>
  </si>
  <si>
    <t>真脉投资（TruMed）是一家专注于医疗健康领域的私募股权投资基金，其核心投资方向聚焦于医疗健康行业的创新技术与实体，尤其关注生物医药、自身免疫疾病、数字健康及医疗器械等细分领域，重点布局中国市场的早期和成长期企业。</t>
  </si>
  <si>
    <t>裕泽香港</t>
  </si>
  <si>
    <t>OCHK</t>
  </si>
  <si>
    <t>裕泽香港（OCHK）成立于2023年，由刘晓棕创设，是一家聚焦新兴产业投资的综合性资产管理机构。公司核心投资团队由刘晓棕与吴昊领衔，具备深厚的产业背景与投资经验，长期深耕储能、新材料、新能源及半导体等关键赛道，目前人民币基金管理规模约80亿元，已成功孵化并推动9家企业在A股上市。依托创始团队与华为体系的深度渊源，裕泽资本在产业资源整合方面具备显著优势，与华为产业链保持紧密联动，能够持续挖掘优质项目机会。同时，公司离岸资金实力雄厚，管理多支美元及港币基金，当前重点布局大型港股IPO中的基石及锚定投资机会，致力于为投资人创造长期稳健回报。</t>
  </si>
  <si>
    <t>贪玩</t>
  </si>
  <si>
    <t>Tanwan</t>
  </si>
  <si>
    <t>贪玩（Tanwan）成立于 2015 年，总部位于江西省上饶市，是一家中国知名的网络游戏产品发行商与运营商。公司以网
页游戏和手机游戏的发行与运营为核心业务，因 2016 年邀请明星张家辉代言旗下游戏《蓝月传奇》并产生
“大家好，我是渣渣辉”的网络流行梗而广为人知。公司是一家中国领先的手机游戏发行平台（第五大，基
于 2022 年收入），致力于“AI+游戏”领域。公司通过品牌发行业务，2025 年实现盈利 14.87 亿元，并曾以
1,500 万元收购阅龙智娱 35%股权，展示了其在游戏研发投资方面的布局。</t>
  </si>
  <si>
    <t>Blue Bridge</t>
  </si>
  <si>
    <t>Shandong Guohui</t>
  </si>
  <si>
    <t>山东国惠基金管理有限公司成立于2016年1月，是经省政府常务会议研究同意，省国资委批准设立的省级国资产业基金运作平台，由山东发展集团全资设立。目前，公司为山东省基金业协会理事单位、省级文明单位、山东省创投服务团重点单位、山东省创业投资协会理事单位。业务板块涉及产业投资、产融服务、资产管理、科创孵化以及盐业、新能源、新材料、高端装备制造等领域。截至2025年末，集团注册资本447.5亿元，资产总额2,517.88亿元，净资产1,510.87亿元。</t>
  </si>
  <si>
    <t>闪点项目 - Tracker</t>
  </si>
  <si>
    <r>
      <t>周厦（董事长）</t>
    </r>
    <r>
      <rPr>
        <sz val="10"/>
        <color theme="1"/>
        <rFont val="Arial"/>
        <family val="2"/>
      </rPr>
      <t xml:space="preserve">
</t>
    </r>
    <r>
      <rPr>
        <sz val="10"/>
        <color theme="1"/>
        <rFont val="KaiTi"/>
        <charset val="134"/>
      </rPr>
      <t>张铁（首席执行官）</t>
    </r>
    <r>
      <rPr>
        <sz val="10"/>
        <color theme="1"/>
        <rFont val="Arial"/>
        <family val="2"/>
      </rPr>
      <t xml:space="preserve">
</t>
    </r>
    <r>
      <rPr>
        <sz val="10"/>
        <color theme="1"/>
        <rFont val="KaiTi"/>
        <charset val="134"/>
      </rPr>
      <t>苏小凡（首席投资官）</t>
    </r>
  </si>
  <si>
    <r>
      <t>Nick Feng</t>
    </r>
    <r>
      <rPr>
        <sz val="10"/>
        <color theme="1"/>
        <rFont val="KaiTi"/>
        <charset val="134"/>
      </rPr>
      <t>（机械分析师）</t>
    </r>
  </si>
  <si>
    <r>
      <t>Jerry Peng</t>
    </r>
    <r>
      <rPr>
        <sz val="10"/>
        <color theme="1"/>
        <rFont val="KaiTi"/>
        <charset val="134"/>
      </rPr>
      <t>（基金经理）、</t>
    </r>
    <r>
      <rPr>
        <sz val="10"/>
        <color theme="1"/>
        <rFont val="Arial"/>
        <family val="2"/>
      </rPr>
      <t>Freddie Cai</t>
    </r>
    <r>
      <rPr>
        <sz val="10"/>
        <color theme="1"/>
        <rFont val="KaiTi"/>
        <charset val="134"/>
      </rPr>
      <t>（股权分析师）、</t>
    </r>
    <r>
      <rPr>
        <sz val="10"/>
        <color theme="1"/>
        <rFont val="Arial"/>
        <family val="2"/>
      </rPr>
      <t>Derek Su</t>
    </r>
    <r>
      <rPr>
        <sz val="10"/>
        <color theme="1"/>
        <rFont val="KaiTi"/>
        <charset val="134"/>
      </rPr>
      <t>（股权分析师）</t>
    </r>
    <r>
      <rPr>
        <sz val="10"/>
        <color theme="1"/>
        <rFont val="Arial"/>
        <family val="2"/>
      </rPr>
      <t xml:space="preserve">
Alastair Pang
</t>
    </r>
    <r>
      <rPr>
        <sz val="10"/>
        <color theme="1"/>
        <rFont val="KaiTi"/>
        <charset val="134"/>
      </rPr>
      <t>（</t>
    </r>
    <r>
      <rPr>
        <sz val="10"/>
        <color theme="1"/>
        <rFont val="Arial"/>
        <family val="2"/>
      </rPr>
      <t>ECM</t>
    </r>
    <r>
      <rPr>
        <sz val="10"/>
        <color theme="1"/>
        <rFont val="KaiTi"/>
        <charset val="134"/>
      </rPr>
      <t>负责人）</t>
    </r>
  </si>
  <si>
    <r>
      <t>中环花园道</t>
    </r>
    <r>
      <rPr>
        <sz val="10"/>
        <color theme="1"/>
        <rFont val="Arial"/>
        <family val="2"/>
      </rPr>
      <t xml:space="preserve"> 3 </t>
    </r>
    <r>
      <rPr>
        <sz val="10"/>
        <color theme="1"/>
        <rFont val="KaiTi"/>
        <charset val="134"/>
      </rPr>
      <t>号中国工商银行大厦</t>
    </r>
    <r>
      <rPr>
        <sz val="10"/>
        <color theme="1"/>
        <rFont val="Arial"/>
        <family val="2"/>
      </rPr>
      <t xml:space="preserve"> 36 </t>
    </r>
    <r>
      <rPr>
        <sz val="10"/>
        <color theme="1"/>
        <rFont val="KaiTi"/>
        <charset val="134"/>
      </rPr>
      <t>楼</t>
    </r>
    <r>
      <rPr>
        <sz val="10"/>
        <color theme="1"/>
        <rFont val="Arial"/>
        <family val="2"/>
      </rPr>
      <t xml:space="preserve"> 3607-08</t>
    </r>
    <r>
      <rPr>
        <sz val="10"/>
        <color theme="1"/>
        <rFont val="KaiTi"/>
        <charset val="134"/>
      </rPr>
      <t>室</t>
    </r>
  </si>
  <si>
    <r>
      <t>Justin Zhang</t>
    </r>
    <r>
      <rPr>
        <sz val="10"/>
        <color theme="1"/>
        <rFont val="KaiTi"/>
        <charset val="134"/>
      </rPr>
      <t>（创始人）</t>
    </r>
    <r>
      <rPr>
        <sz val="10"/>
        <color theme="1"/>
        <rFont val="Arial"/>
        <family val="2"/>
      </rPr>
      <t xml:space="preserve">
</t>
    </r>
    <r>
      <rPr>
        <sz val="10"/>
        <color theme="1"/>
        <rFont val="KaiTi"/>
        <charset val="134"/>
      </rPr>
      <t>王辉（董事总经理）</t>
    </r>
  </si>
  <si>
    <t>Project Search Light</t>
  </si>
  <si>
    <t>昊阳资本</t>
  </si>
  <si>
    <t>Infinite Capital</t>
  </si>
  <si>
    <t>超20亿美元</t>
  </si>
  <si>
    <t>昊阳资本（Infinite Capital）是一家于香港成立的公司，持有香港证监会4号牌和9号牌(中央编号为BJC 166)，专注为开曼群岛注册的基金提供资产管理、行政服务、专业意见，是一家以投资研究为导向的公司。旗下管理的基金专注于中长期固定收益，股权投资及IPO发行项目等。管理团队有超过20年资产管理以及基金投资经验，包括来自国际顶尖投资机构的基金经理。总经理张文龙，拥有丰富的资本市场经验。公司服务对象包括专业投资者及机构投资者，提供涵盖各种资产类别的投资策略。截止2020年12月31日，团队累积管理资产总值超过20亿美元。</t>
  </si>
  <si>
    <t>GBA</t>
  </si>
  <si>
    <t>阿波罗资产管理公司（Apollo Asset Management）是一家全球另类资产管理机构。投资策略上，公司围绕信贷、股权及实物资产开展投资，覆盖私人信贷、资产支持融资、私募股权、企业分拆与去杠杆化交易，以及房地产和基础设施等领域，并致力于为客户提供具吸引力的风险调整后回报。偏好行业/领域主要包括信贷、私募股权、房地产及基础设施等另类资产方向。投资者类型为多策略基金。截止到2025年12月31日，管理资产规模为9,380亿美元。</t>
  </si>
  <si>
    <t>中环花园道1号
中银大厦37楼</t>
  </si>
  <si>
    <t>China Life Franklin</t>
  </si>
  <si>
    <t>FIL</t>
  </si>
  <si>
    <t>富达国际（FIL）是全球领先的资产管理机构，成立于1969年，总部位于美国，其中国分支富达基金为外资全资控股的公募基金管理公司，以主动管理和长期价值投资为核心策略，覆盖股票、固定收益、另类投资及多元资产配置，尤其擅长通过深度基本面研究挖掘全球市场的结构性机会。投资策略强调分散化全球配置，结合ESG因子整合，聚焦科技、消费、医疗等成长型行业，同时布局成熟市场的低波动资产与新兴市场的超额收益机会。其资产管理规模为9,007亿美元</t>
  </si>
  <si>
    <t xml:space="preserve">中环花园道3号
中国工商银行大厦
8楼801-3室
</t>
  </si>
  <si>
    <t>My.Alpha是一家总部位于香港的投资产管理公司，资产管理规模约40亿美元。MY.Alpha专注于泛亚洲投资机会，通过跨市场事件驱动策略与量化模型相结合，捕捉区域经济转型中的特殊投资窗口，实现收益优化。其核心能力在于主动型资产组合优化及跨周期风险对冲，在消费升级、产业数字化及区域供应链重构等领域形成差异化布局，持续巩固亚太地区市场影响力。</t>
  </si>
  <si>
    <t>约40亿美元</t>
  </si>
  <si>
    <t>瑞士百达（Pictet）是总部位于瑞士的独立资产管理公司，资产管理规模9,550亿美元，目前在全球拥有18个办事处及1,000多名员工，是优质的欧洲长线基金。公司拥有超过400名投资专业人才，主要采用主动、量化和指数策略来进行股权投资，主要服务对象为全球大型养老基金，金融机构和主权财富基金等，也为高净值个人管理私人财富。</t>
  </si>
  <si>
    <t>4.5万亿人民币</t>
  </si>
  <si>
    <t>闫永清（投资经理）, shutong wang</t>
  </si>
  <si>
    <t>蓝桥控股（Blue Bridge）是一家综合控股集团，涵盖投行投资与咨询两大核心业务板块，与各大上市公司及金融战略伙伴紧密合作。累计完成了超过50项投资并购与财务顾问业务，交易总额累计超过了150亿人民币，复合年均投资回报率25%。核心管理团队拥有强大的投行背景、丰富的专业投资经验并具备国际化产业整合视野，擅长并购业务与产业整合。目前公司管理规模近20亿人民币。</t>
  </si>
  <si>
    <t>20亿人民币</t>
  </si>
  <si>
    <t>2,517.88亿人民币</t>
  </si>
  <si>
    <t xml:space="preserve">
</t>
  </si>
  <si>
    <t xml:space="preserve">0
</t>
  </si>
  <si>
    <t>外资长线</t>
  </si>
  <si>
    <t>Alex Jiang（医药投资经理）
远景动力：
Christina Chung（董事总经理、资深基金经理、大中华区负责人、大中华区首席基金经理）
Shaopin Guan（股权市场负责人）
Kevin You（基金经理）
Catherine Chan（资深分析师：科技、新能源）
Thomas Zhu（资深分析师：工业、ESG、汽车）
Terrence Liu
（消费行业分析师）</t>
  </si>
  <si>
    <t>孙瑞（执行董事）
Jack（创始人）</t>
  </si>
  <si>
    <t>Maggie Shen（基金经理）
Alan Lee（亚洲股票投资分析师）
远景动力：
William Fong（中国区股权投资主管）
荣白丁（董事总经理）
Nicola Lai（董事总经理）
阿麦斯：
Maggie Shen
（基金经理）
Alan Lee
（消费分析师）</t>
  </si>
  <si>
    <t>剂泰科技-P、曦智科技-P、东鹏饮料、鸣鸣很忙、三一重工、紫金黄金国际、和誉-B、康圣环球、联易融科技-W、快手-W、和铂医药- B、京东健康、德琪医药- B、荣昌生物- B、云顶新耀- B、明源云、欧康维视生物-B、康基医疗、九毛九、平安好医生、三生制药等</t>
  </si>
  <si>
    <t>Hans Sham
（ECM负责人）
Lynette Lim
（ECM负责人）
远景动力：
Lucy Liu（新兴市场基金经理）
Kevin Jia（亚太市场基金经理）
阿麦斯：
Yena Hyun
（资本市场部分析师）
Krishank Agarwal
（资本市场部分析师）</t>
  </si>
  <si>
    <t>连少冬(副执行总裁)
远景动力：
杨涛（投资负责人）</t>
  </si>
  <si>
    <t>方若凡（创始人）
远景动力：
张甘霖（投资总监）</t>
  </si>
  <si>
    <t>Piers Cassidy
（基金经理）
阿麦斯：James Cheung（分析师）</t>
  </si>
  <si>
    <t>马湛（投资总监）
林琪（投资总监）</t>
  </si>
  <si>
    <t>剂泰科技-P、长光辰芯、金浔资源、瑞博生物-B、精锋医疗-B、天数智芯、英矽智能、乐舒适、Fortior、圣贝拉、IMAX China、心通医疗-B等</t>
  </si>
  <si>
    <t>Shawn Huang（基金经理）
甘添（总裁）
黄硕（基金经理）
张钧（研究部主管）
宋坤蓉（分析师）
远景动力：
范磊（基金经理）
阿麦斯Aaron Song（ECM）</t>
  </si>
  <si>
    <t>中国人寿富兰克林</t>
  </si>
  <si>
    <t>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t>
  </si>
  <si>
    <t>Cathy Luo（基金经理）
齐凡（ECM负责人）</t>
  </si>
  <si>
    <t>邵康（基金经理）
熊潇雅（基金经理）
宋文慧（分析师）
恽雷（国际业务部总经理）</t>
  </si>
  <si>
    <t>刘可（投资总监）
华中南（股权投资主管）
罗歆迪（高级投资经理）
Allen Ye（投资负责人）</t>
  </si>
  <si>
    <t>王志华（投资总监）
阿麦斯：张晟优（研究员）</t>
  </si>
  <si>
    <t>Ian Liu（基金经理）
阿麦斯：
刘乐飞（创始人）
王园晔（投资副总裁）
高文玲（投资副总裁）
陈业（基金经理、研究总监）
孔令鑫（研究总监助理）</t>
  </si>
  <si>
    <t>Nick Feng（机械分析师）
阿麦斯：
Daniel Wu（董事）
Alan Zhong（权益部负责人）</t>
  </si>
  <si>
    <t>Decarbonization Partners (Temasek- Blackrock JV)</t>
  </si>
  <si>
    <t>Decarbonization Partners （Temasek- Blackrock JV）是贝莱德（BlackRock）与淡马锡（Temasek）共同成立的合资企业，专注于投资全球范围内的创新技术公司。作为一家专注于后期风险投资和早期成长期投资的机构，公司奉行双重使命导向的投资策略：通过支持那些致力于实现有意愿、实质性且可量化的脱碳成果的企业，来追求具有吸引力的长期财务回报</t>
  </si>
  <si>
    <t>Liu Jian Rong
（基金经理）
远景动力：
Cecilia Chen（VP）</t>
  </si>
  <si>
    <t>Juilice Zhou（投资经理）
远景动力：
John Tsai（成长型股权投资主管）
Jocelyn Wu（中国区基金经理）
Yuan Yiu Tsai（价值投资基金经理）
Lilian Li（价值投资基金经理）</t>
  </si>
  <si>
    <t>Fu Cun（ECM）
James Liu（副首席执行官）（EFUND HK）
远景动力：
吴欣荣（总裁）
付浩（权益投资管理部总经理）
付村（权益投资管理部资本市场经理）
刘畅（港股ECM负责人）</t>
  </si>
  <si>
    <t>Theresa Zhou（基金经理）
远景动力：
Jackie Chien（亚洲资本市场总监）
Cynthia Chen（资深基金经理）；Ben Li（基金经理）；Alice Li（基金经理）</t>
  </si>
  <si>
    <t>Sandeep Varma（研究分析师）
远景动力：
Jessie Xu（亚太ECM负责人）
Ivan Xie（基金经理）
Xiaoting Zhao（基金经理）</t>
  </si>
  <si>
    <t>万青（投资总监）
刘都（董事总经理）</t>
  </si>
  <si>
    <t>Eva Liu（分析师）
阿麦斯：
张峰（海外投资部总经理）
宁君（QDII基金经理）
彭陈晨（QDII基金经理）
吴燕柳（研究员）</t>
  </si>
  <si>
    <t>剂泰科技-P、曦智科技-P、群核科技、长光辰芯、华研机器人、智谱、创新实业、赛力斯、广和通、佳鑫国际资源、周六福、子不语、零跑汽车等</t>
  </si>
  <si>
    <t>上官鹏（广发基金香港总经理）、吴鹏（广发基金海外研究总监兼港股IPO负责人）
阿麦斯：刘娜（投资经理）</t>
  </si>
  <si>
    <t>Scofield Chi（基金经理）
Mark Ong (Public Equities负责人）
池浩成（基金经理）
谢楚轩（研究员）</t>
  </si>
  <si>
    <t>广合科技、精锋医疗-B、智汇矿业、紫金黄金国际、大行科工、FORITOR、蓝思科技、IFBH、三花智控、毛戈平、蓝月亮集团、正荣服务、永泰生物-B等</t>
  </si>
  <si>
    <t>Adonis Zhu（董事总经理）
LUO Cheng, Adonis ZHU（执行董事）
Yolanda Yin（资深分析师）
张琼（资深分析师）
Zena Zhang（资深分析师）
远景动力：
胡章宏（董事长）
殷聰（总经理）
祝昱华（董事总经理）
王建平（董事总经理）
黄炜（执行总监）"
阿麦斯：Icey Tao（资深研究员）</t>
  </si>
  <si>
    <t>蒋彤（基金经理）
金美桥（合伙人、基金经理）</t>
  </si>
  <si>
    <t>Katherine（合伙人）
Marvin（分析师）
Jane（分析师）
孙然（基金经理）
Zhang Qin（基金经理）
远景动力：
罗家亮（资深基金经理）
张琴（资深基金经理）
阿麦斯：Nicole Zhang（基金经理）
郭弘毅（基金经理）</t>
  </si>
  <si>
    <t>思格新能、卧安机器人、遇见小面、创新实业、三一重工、紫金黄金国际、奇瑞汽车、三叶草生物-B、百济神州、微创机器人-B、海吉亚医疗、康诺亚-B、归创通桥、心通医疗-B、Vesync、远洋服务、和铂医药-B、华润万象生活、京东健康、德琪医药-B、融创服务、金科服务、荣昌生物、药明巨诺-B、合景悠活、先声药业、云顶新耀、明源云、康基医疗、建业新生活、保利物业、启明医疗-B、锦欣生殖、方达控股、福耀玻璃、中广核电力、海螺创业、四环医药、赛晶科技、呷哺呷哺等</t>
  </si>
  <si>
    <t>Charlie guo（投资总经理）
远景动力：
一级团队：Luke Li
（Founding Partner - Industrial hard tech）
Michael Yi（Founding Partner, Co-CIO）
Wang Bin（MD）
Ricky Fang（MD）
Fang Jingyi（ED）
1.5级团队：Shane Yang（ED）
二级团队：Zhang Lei（Chairman, Founding Partner）
Vivien Xu（Co-CIO）
Yizhe Wang（PM）
Coral Li（SA）
Rhonin Chen（SA）
Zihan Zhu（SA）</t>
  </si>
  <si>
    <t>王士聪（基金经理）
Kevin XU（高级研究员）
阿麦斯：明哲（分析师）
黄海鹏（分析师）</t>
  </si>
  <si>
    <t>Claire Wang(基金经理)
Victoria Mio（大中华区负责人）</t>
  </si>
  <si>
    <t>Luka Zhu（资深研究员）
远景动力：
Howard Wang（大中华区投资总监）
Mark Mao（执行总经理）
Penny Tu（基金经理）
Julie Ho（基金经理）"</t>
  </si>
  <si>
    <t>Edgar Hu （基金经理）
文博（高级分析师）
Phoebe Guo（基金经理）</t>
  </si>
  <si>
    <t>剂泰科技-P、曦智科技-P、长光辰芯、胜宏科技、群核科技、兆威机电、澜起科技、MINIMAX-WP、赛力斯、紫金黄金国际、天岳先进、曹操出行等</t>
  </si>
  <si>
    <t>Jinman.Cho(基金经理)、Haemin Oh(自营部门经理)
远景动力：
黄莎莎（中国区负责人）
Elisa Zha（大中华区资本市场负责人）
Jinman Cho（韩国资本市场负责人）
Aaron Ju（基金经理）</t>
  </si>
  <si>
    <t>余文俊（研究主管）
周润南（研究员）
Christine Sun（研究员）
远景动力：
周磐（港股投资负责人）</t>
  </si>
  <si>
    <t>Gilbert Lee（创始人）
Kevin Huang（董事总经理）
Luis Lui（分析师）</t>
  </si>
  <si>
    <t>刘静Jing Liu(副总裁)
远景动力：
张樱楠（首席执行总监）
Cici Tao（PE团队副总裁）</t>
  </si>
  <si>
    <t>卓利伟（合伙人）
冯鹏（基金经理）
远景动力：
邱国鹭（创始人、董事长）
卓利伟（合伙人、首席研究官、资深基金经理）
邓晓峰（合伙人、首席投资官、资深基金经理）
腾雪菲（研究主管、合伙人）</t>
  </si>
  <si>
    <t>曦智科技-P、牧原股份、壁仞科技、华润万象生活、中国能源建设、联想控股、中国信达等</t>
  </si>
  <si>
    <t>曹辉（高级分析师）
傅一帆(研究员)
远景动力：
汪新翼（资本市场负责人兼CIO）
黄灏（业务执行副总经理，私募股权投资）</t>
  </si>
  <si>
    <t>邹舟（基金经理）
李墨（合伙人）
王强（合伙人）
David Ni（资深研究员）</t>
  </si>
  <si>
    <t>东鹏饮料、药明合联</t>
  </si>
  <si>
    <t>Winston Chen（中国区董事）
远景动力：
Abdulla Ali Al-Kuwari（Head of Industrials）
Abdulla Ali Al-Marri（Head of QIA Advisory - Asia Pacific）
Tan Chay Ling（Senior Asia PM）
Flora Wang（China PM）</t>
  </si>
  <si>
    <t>Louisa Lo（基金经理）
远景动力：
Jade Zhang（基金经理）
Yang Yang（基金经理）
Maggie Zheng（基金经理）
Jack Lee（基金经理）
Amelia Lee（基金经理）</t>
  </si>
  <si>
    <t>郑闻立（基金经理）
Bill Bai (分析师)
远景动力：
Christine To（副总经理）
Wenli Zheng（基金经理）"</t>
  </si>
  <si>
    <t>华勤技术、群核科技、澜起科技、东鹏饮料、鸣鸣很忙、兆易创新、Minimax-WP等</t>
  </si>
  <si>
    <t>陈济（投资总监）
Ray Li（机械分析师）
远景动力：
陈济（投资总监）
李睿（权益研究总监）
田晓萱（新股投资经理）</t>
  </si>
  <si>
    <t>曦智科技-P、英矽智能、三一重工、万物云、京东物流、上海医药、东鹏饮料、鸣鸣很忙等</t>
  </si>
  <si>
    <t>邵冠棋（基金经理）
阿麦斯：常宇亮（二级市场负责人）
邵冠棋（投资总监）</t>
  </si>
  <si>
    <t>腾讯投资成立于 2008 年，是腾讯集团的核心战略部门之一。腾讯在投资上遵循“用户第一、被投企业第二、腾讯第三“的原则，致力于发掘为用户提供长期价值的创业者和企业。通过与初创企业和成熟公司的合作，腾讯投资不仅提供资本支持，还利用其丰富的资源助力被投资企业实现可持续增长和市场拓展。截至 2025 年 3 月，其累计投资企业超过 800 家，其中 70 余家已上市。资产管理规模约 1,500 亿美元。</t>
  </si>
  <si>
    <t>古茗、老铺黄金、极兔速递-W、途虎-W、微泰医疗-B、医脉通、医渡科技、融创服务、卓越商企服务、美团点评-W、中泰期货
华沿机器人、东鹏饮料、鸣鸣很忙、英矽智能、明略科技、老铺黄金、美团点评-W、微泰医疗-B</t>
  </si>
  <si>
    <t>朱美子（执行董事）
李强（高级投资经理）
梁珺（投资总监）
李永超（高级分析师）
Tammy Tian（高级经理）
远景动力：
余海洋（合伙人）
Levin Yao（董事总经理）
John Peng（投资总监）
阿麦斯：
田笑（ECM）</t>
  </si>
  <si>
    <t>剂泰科技-P、曦智科技-P、华勤技术、长光辰芯、恩格新能、广合科技、澜起科技、牧原股份、东鹏饮料、豪威集团、精锋医疗-B、天数智芯、壁仞科技等</t>
  </si>
  <si>
    <t>Anchor Zou（董事）
远景动力：
施斌（大中华区股票主管）
Yishu Yan（能源、储能分析师）</t>
  </si>
  <si>
    <t>Cedric Pouillart（董事）、
Bo Meunier（基金经理）
Salinas Zhang（基金经理）</t>
  </si>
  <si>
    <t>招商资本是招商局集团与普洛斯集团联合打造的另类资产管理平台，成立于2012年，累计投资项目超700个，聚焦生命科技、数智科技、绿色科技三大赛道，构建VC/PE、FOF/S、跨境等多元业务矩阵，是国内头部私募股权投资机构。依托股东产业、机构投资者及被投企业形成的赋能体系，叠加跨境资源协同与产融双轮驱动的资本运营优势，招商资本构建出独特的投资生态，在服务国家战略、助推产业发展、市场化投资上实现价值共创，持续为投资者创造穿越周期的稳健回报。
公司资产管理规模为3,000亿元人民币</t>
  </si>
  <si>
    <t>刘晓棕（创始人）
远景动力：
何卓远（投资总监）</t>
  </si>
  <si>
    <t>南方电网</t>
  </si>
  <si>
    <t>CSG</t>
  </si>
  <si>
    <t>中国南方电网（CSG）成立于 2002 年，位列世界 500 强第 84 位，是中央直管的国有重要骨干企业。公司主营南方区域电网投资、建设与运营，以及跨区域输变电联网工程，电力服务覆盖广东、广西、云南、贵州、海南五省区及港澳地区。
南网国际为南方电网全资子公司，作为集团国际化资源配置与境外投资运营核心平台，依托南方电网成熟的专业技术与管理优势，深耕全球电力能源项目投资、建设、运营及全流程管理，助力集团核心业务海外布局延伸，是南方电网最主要的境外出资主体</t>
  </si>
  <si>
    <t>中国能源建设、中广核电力、中广核新能源</t>
  </si>
  <si>
    <t>明阳智能、华能新能源、中广核风电</t>
  </si>
  <si>
    <t>远景动力：
单淑兰（南方电网集团总会计
师 ）
孙鹏（南方电网金控集团董事
长、集团资本运营部总经理 ）
汤干湘（南网国际副总经理）
高磊（南网储能公司副总经理、
总会计师）</t>
  </si>
  <si>
    <t>骑士资本</t>
  </si>
  <si>
    <t>Knight Capital</t>
  </si>
  <si>
    <t>Knight Capital成立于1995，是一家总部位于阿姆斯特丹的创业型单一家族办公室，专注于长期价值创造。公司的投资范围涵盖直接投资于私营公司、基金管理人、公开市场以及精选的IPO前/IPO机会，公司采取长期投资策略。其管理规模为189亿美元</t>
  </si>
  <si>
    <t>郭梓宸（创始人）</t>
  </si>
  <si>
    <t>189亿美元</t>
  </si>
  <si>
    <t>凯珍资本</t>
  </si>
  <si>
    <t>CG Partners Capital</t>
  </si>
  <si>
    <t>凯珍资本（CG Partners Capital）立足香港国际金融枢纽，以专业链接全球资本，为投资人打开广阔的全球视野，通过香港高效配置全球优质资产。团队核心成员实力雄厚，兼具顶尖机构背景与实战经验：投资团队拥有资深投研积淀，具备主权财富基金和万亿公募任职的投资管理经验；管理团队具备银行、股权机构专业背景。团队深耕港股市场多年，精准布局晶泰科技、轩竹生物、周六福，迅策科技，群核科技，胜宏科技等优质标的，陆续储备了股权阶段到IPO阶段的系列标的，以扎实研究把握时代机遇，一二级共同布局，用专业能力严控风险。</t>
  </si>
  <si>
    <t>董姗姗（创始合伙人）、Victor Gan（投资总监）、郑炳亮（业务合伙人）</t>
  </si>
  <si>
    <t>Skyfort Capital</t>
  </si>
  <si>
    <t>Skyfort Capital 目前管理基金总规模 约 5 亿人民币，凭借专业的投资能力和稳健的投资业绩，在市场上获得了良好的声誉。公司参与的多项港股IPO项目取得了优异的投资回报，近几个月曾参与滴普科技、剑桥科技、京东工业、hashkey 、壁仞科技、宝济药业、英矽智能、智谱、豪威集团、国恩科技等多个港股 IPO 项目，为投资者创造了可观的价值。公司注重与发行人、承销商、其他机构投资者建立长期合作关系，形成了良好的市场网络和资源积累。</t>
  </si>
  <si>
    <t>嘉和盛资本</t>
  </si>
  <si>
    <t>嘉和盛资本是定位于投资硬科技公司和科技消费品公司的投资。目前一二级市场总盘可投资规模超100亿元，产业覆盖关键材料（光刻胶、靶材、稀有金属）；AI（复杂Soc设计、高速通信、存储、堆叠封装）；高端制造（晶圆设备、封装设备）；消费电子（AI眼镜、无人机、智能相机、AI PC）。嘉和盛深度参与美的集团、宁德时代、英伟达、微软、联想等国际巨头的产业和投资布局，拥有丰富的资金资源、产业资源。</t>
  </si>
  <si>
    <t xml:space="preserve">陈武（创始人）、胡煜（合伙人）
</t>
  </si>
  <si>
    <t>超100亿人民币</t>
  </si>
  <si>
    <t>美团战投</t>
  </si>
  <si>
    <t>Meituan</t>
  </si>
  <si>
    <t>美团战投成立于2014年，是美团的核心战略投资部门。在投资管理上遵循“战略协同、长期价值、科技驱动”的原则，致力于通过资本与产业资源的深度结合，为美团探索新战略机会并巩固核心业务竞争力。自2014年成立以来，美团战投围绕美团的“零售+科技”战略，重点布局前沿科技、硬科技、机器人、人工智能、自动驾驶及本地生活服务生态等领域</t>
  </si>
  <si>
    <t>陈少晖 (美团首席财务官、高级副总裁)
Pan Fan（餐饮负责人）
张欢 (美团战投能源行业负责人)</t>
  </si>
  <si>
    <t>九弦资本</t>
  </si>
  <si>
    <t>Chord Capital</t>
  </si>
  <si>
    <t>九弦资本（Chord Capital） 成立于2014年，总部位于北京，是一家在中国证券投资基金业协会备案登记的私募资产管理机构，专注于文化与科技两大主题领域的股权投资。公司在投资管理上遵循“价值投资”之道，深耕文化、健康、科技等关键主题赛道，致力于将文化与科技深度融合，发掘并赋能具备持续创新能力的优秀企业。通过与北京广播电视台、歌华有线、京东集团及亦庄国投等产业与资本龙头深度合作，九弦资本不仅提供资本支持，还利用其广泛的产业背景和丰富的跨界资源，助力被投企业在管理、市场和生态建设上实现可持续成长。公司主要关注中后期项目，并布局优质的早期项目，现阶段管理着北京合音投资基金、首都大健康产业基金等多支人民币股权投资基金。截至2024年，九弦资本累计管理资产规模约达30亿元人民币，已投资覆盖天使轮到成熟期的多元项目，持续以专业能力推动优质企业价值增长。</t>
  </si>
  <si>
    <t>约30亿元人民币</t>
  </si>
  <si>
    <t>弘尚資产</t>
  </si>
  <si>
    <t>HSAM</t>
  </si>
  <si>
    <t>赵屹佳（合伙人、副总裁）</t>
  </si>
  <si>
    <t>挪威银行</t>
  </si>
  <si>
    <t>Norges Bank</t>
  </si>
  <si>
    <t>挪威银行成立于1816年，是挪威国有中央银行。挪威银行资产管理在上海设有办事处，对中国市场投资机会长期关注，是中国市场最大的QFII基金之一。资产管理规模达1.7万亿美元。历史投资项目：中国信达、辉山乳业等。"</t>
  </si>
  <si>
    <t>远景动力：
Ceclia Lind（资本市场负责人）</t>
  </si>
  <si>
    <t>安本</t>
  </si>
  <si>
    <t>Aberdeen</t>
  </si>
  <si>
    <t>Aberdeen 作为一家全球性专业资产管理机构，凭借极具竞争力的投资策略与专业领域积淀，以深厚的行业底蕴与规模化运营能力，全方位满足客户当下及未来的多元需求。逾一个世纪以来，公司传承的苏格兰精神始终贯穿其业务发展的方方面面:开拓进取的魄力推动其不断布局新兴市场;敢于在市场观望期果断出手的胆识，助力其挖掘全球范围内的潜在投资机遇:在市场波动周期中展现出的强大韧性，则为其构建长期稳健的发展战略奠定了坚实基础</t>
  </si>
  <si>
    <t>Peter Branner
（首席投资官）
严艾婧
(投资总监)</t>
  </si>
  <si>
    <t>Carmignac是一家成立于1989年的欧洲精品投资管理公司，以信念驱动投资为核心理念，通过多元化的专注策略为客户实现长期储蓄目标，并始终将ESG标准全面融入业务流程。在持续提供卓越长期投资业绩的同时，Carmignac致力于为分销商与投资者提供高水准的客户服务。截至2025年6月30日，公司资产管理规模达370.1亿欧元。过往港股基石投资案例包括康圣环球、昭衍新药、高鑫零售等</t>
  </si>
  <si>
    <t>高盛资管</t>
  </si>
  <si>
    <t>GSAM</t>
  </si>
  <si>
    <t>高盛资产管理（Goldman Sachs Asset Management，简称GSAM）是高盛集团旗下核心资管平台之一，业务覆盖公开市场与私募市场投资。该平台为全球主权基金、养老金、保险机构、企业及高净值客户提供股票、固定收益、多资产、对冲基金、私募股权、基础设施及私募信贷等多元化投资策略。截至2025年，高盛资产与财富管理业务管理规模已达约3.4万亿美元，位居全球大型资管机构前列</t>
  </si>
  <si>
    <t>Nathan Lin（资深基金经理）</t>
  </si>
  <si>
    <t>Hudson Bay</t>
  </si>
  <si>
    <t>Hudson Bay是一家管理规模达数十亿美元的全球投资管理公司，总部设于美国。自2006年起为外部机构投资者提供资产管理服务，客户群体涵盖全球各类专业投资机构。公司通过多元化的绝对收益策略，结合严谨的基本面研究，发掘传统及非传统的超额收益来源。其可复制、可扩展的投
资流程，致力于在不同市场环境下实现持续、稳健的风险调整后回报。公司通过识别市场低效与被低估的投资标的获取超额收益，同时注重风险控制与资本保全，并通过各策略团队间的协同合作，促进跨策略的投资理念交流与整合</t>
  </si>
  <si>
    <t>Adrian Lee（ECM负责人）</t>
  </si>
  <si>
    <t>KKR</t>
  </si>
  <si>
    <t>KKR成立于1976年5月1日，总部位于美国纽约，是全球历史最悠久、规模最大的另类资产管理机构之一，也是杠杆收购和管理层收购模式的奠基者，股票代码KKR。公司在投资管理上遵循“以实业家心态、而非金融家思维进行长期投资”的原则，始终聚焦价值创造，致力于通过深度参与企业运营提升，发掘并赋能各行各业中具备长期增长潜力的优秀企业。截至2025年，KKR在全球36个城市设有办事处，累计资本投入已超过1920亿美元，资产组合覆盖225余家被投企业，全球范围内被投企业共实现101次IPO上市。资产管理总规模约7230亿美元</t>
  </si>
  <si>
    <t>王宸（董事总经理、中国消费行业负责人）
叶子（投资经理）</t>
  </si>
  <si>
    <t>Man Group</t>
  </si>
  <si>
    <t>Man Group是全球领先的主动型资产管理机构之一，总部位于英国伦敦，业务遍及欧洲、美洲及亚洲主要金融中心。公司成立历史可追溯至18世纪，是全球规模最大的上市对冲基金管理公司之一。截至2025年第三季度末，Man Group管理资产规模约2,100亿美元，投资策略涵盖系统化投资、主动股票、固定收益、多策略及另类资产等多个领域，服务对象包括主权基金、养老金、保险公司及其他机构投资者。公司依托量化与基本面相结合的投研体系，致力于在不同市场环境下为客户提供多元化、风险调整后的长期回报</t>
  </si>
  <si>
    <t>Charles Spence（基金经理）</t>
  </si>
  <si>
    <t>QRT</t>
  </si>
  <si>
    <t>Qube Research &amp; Technologies前身为瑞信伦敦办公室的量化及系统资管部门（Quantitative and Systematic AM），于2017年分拆成为独立投资机构，资产管理规模为20亿美元。Qube专注于利用数据、技术和系统性研究开发多元化的投资策略，并通过跨学科团队协作、前沿科技应用和严格的风险管理创造高质量的投资收益。基金采用全球多元化的投资策略，覆盖多地域、多总产类别，结合量化模型与市场动态</t>
  </si>
  <si>
    <t>Rajesh Nlhalani（基金经理）
Yolanda Zhang（资深分析师）</t>
  </si>
  <si>
    <t>北京、上海</t>
  </si>
  <si>
    <t>北京</t>
  </si>
  <si>
    <t>11:15-12:15</t>
  </si>
  <si>
    <t>中移资本</t>
  </si>
  <si>
    <t>中移资本成立于2016年11月，是中国移动通信集团有限公司全资设立的国有独资企业，注册资本200亿元，专注于数字经济领域的股权投资与资本运作。作为中国移动对外投资和资本运作的集中管理平台，其紧密依托母公司战略和资源，通过股权投资赋能被投企业，助力高质量发展。</t>
  </si>
  <si>
    <t>中邮理财</t>
  </si>
  <si>
    <t>PSBC WM</t>
  </si>
  <si>
    <t>中邮理财是中国邮政储蓄银行股份有限公司的全资子公司，注册资本80亿元人民币，注册地为北京，于2019年12月获批成立，主要从事发行公募理财产品、发行私募理财产品、理财顾问和咨询等资产管理相关业务。中邮理财致力于建设成为以客户为中心，审慎稳健、专业开放、创新领先、价值卓越的一流银行系资产管理公司。截至2024年末，邮储银行管理个人客户资产规模达到 16.69万亿元。</t>
  </si>
  <si>
    <t>SK China</t>
  </si>
  <si>
    <t>上海</t>
  </si>
  <si>
    <t>14:00-15:00</t>
  </si>
  <si>
    <t>15:30-16:30</t>
  </si>
  <si>
    <t>17:00-18:00</t>
  </si>
  <si>
    <t>中国太保上海(CPIC HK)是与太平洋产险同日成立的分支机构。上海分公司始终坚持改革创新、坚持“保险姓保”，服务于上海国际经济、金融、贸易、航运、科创“五个中心”和现代化国际大都市建设，积极助力上海服务、上海制造、上海购物、上海文化“四大品牌”打造，保险业务规模持续增长，保费收入已从公司成立之初的7,900多万元发展到2023年的141.2亿元，业务规模增长170多倍，近三年来累计支付赔款206.27亿元，为上海经济发展、社会和谐作出了贡献。</t>
  </si>
  <si>
    <t>Skycus Capital
天壹资本</t>
  </si>
  <si>
    <t xml:space="preserve">
中移资本</t>
  </si>
  <si>
    <t>Cephei
润晖</t>
  </si>
  <si>
    <t>Protium Capital
宁远资本</t>
  </si>
  <si>
    <t>PSBC WM
中邮理财</t>
  </si>
  <si>
    <t>CPE
源峰</t>
  </si>
  <si>
    <t>China Securities
中信建投自营</t>
  </si>
  <si>
    <t>Value Partners
惠理基金</t>
  </si>
  <si>
    <t>China Universal AM
汇添富</t>
  </si>
  <si>
    <t>UBS AM
瑞银资管</t>
  </si>
  <si>
    <t>Orchid Asia
兰馨亚洲</t>
  </si>
  <si>
    <t>SIIC
上实资本</t>
  </si>
  <si>
    <t>CPIC SH
中国太保上海</t>
  </si>
  <si>
    <t>Boyu Capital
博裕资本</t>
  </si>
  <si>
    <t>Fullgoal Fund
富国基金</t>
  </si>
  <si>
    <t>Temasek
淡马锡</t>
  </si>
  <si>
    <t>SK集团成立于1953年，是韩国第二大企业集团，SK在2023年位列《财富》杂志世界500强第92位。SK作为首家在华设立分支机构的韩国大企业，1991年就在北京设立了办事处。SK通过全球合作伙伴计划，从长远的角度出发，与中国当地合作伙伴、社区开展合作，推动共同发展的本土化战略。至2022年末，SK集团共有18家成员公司在中国设立了54个法人，拥有2.4万名员工，总投资额达430亿美元。SK集团资产总额 2,469亿美元。</t>
  </si>
  <si>
    <t>2,469亿美元</t>
  </si>
  <si>
    <t>13:00-14:00</t>
  </si>
  <si>
    <t xml:space="preserve">SK China
</t>
  </si>
  <si>
    <t>Taikang AM
泰康资管</t>
  </si>
  <si>
    <t>Carmignac是一家成立于1989年的欧洲精品投资产管理公司，以信念驱动投资为核心理念，通过多元化的专注策略为客户实现长期储蓄目标，并始终将ESG标准全面融入业务流程。在持续提供卓越长期投资业绩的同时，Carmignac致力于为分销商与投资者提供高水准的客户服务。截至2025年6月30日，公司资产管理规模达370.1亿欧元。</t>
  </si>
  <si>
    <t>张耿华（鼎晖百孚执行董事）
林淇（投资经理）</t>
  </si>
  <si>
    <t>中投（China Investment）由国务院实际控制，是世界最大主权财富基金之一，宗旨是通过国家外汇资金多元化投资，在可接受风险范围内实现股东权益最大化，服务国家宏观经济及金融体制改革。其为中国最大的主权基金也是全球第二大主权基金，资金来源于国家外汇储备，在全球范围内对股权、固定收益以及多种形式的另类资产进行投资。境外投资产管理由中投国际（2011 年 9 月设立，承接原境外业务，涵盖公开市场、对冲基金等投资，曾参与光大绿色环保等港股 IPO 基石投资）和中投海外承担，二者均采用市场化、商业化、专业化及国际化运作。公司坚持长期投资和风险分散化，资产管理规模约13000亿美元</t>
  </si>
  <si>
    <t>中金资本（CICC Capital）是中国国际金融股份有限公司（中金公司）旗下专业私募投资产管理平台，成立于2017年，聚焦私募股权、母基金及跨境投资，是中国领先的综合性资产管理机构。重点关注老年健康产业，业务领域涵盖产业投资、战略并购、证券投资、创新投资等业务板块。管理资金规模约4,576亿元</t>
  </si>
  <si>
    <t>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t>
  </si>
  <si>
    <t>刚睿资本（CoreView）是一家总部位于中国香港的投资产管理机构，专注于二级市场投资，尤其侧重中国科技及消费类企业。其持仓集中在中概股，前五大标的包括拼多多（PDD）、携程（TCOM）、百度（BIDU）等，总持仓市值约6.3亿美元</t>
  </si>
  <si>
    <t>中国太保</t>
  </si>
  <si>
    <t>CPIC</t>
  </si>
  <si>
    <t>中国太保（CPIC）成立于1991年5月13日，公司以全球视角，发挥险资大类资产配置基因，围绕固收、权益、另类投资三大支柱领域搭建投资策略，致力于与寻求最佳投资方案的客户并肩合作，打造专业化的金融投资产管理理平台。近期港股基石投资案例包括顺丰控股、宁德时代、云想科技、嘉和生物-B等截止2024年6月，其资产管理规模为3.26 万亿人民币</t>
  </si>
  <si>
    <t>戴蒙亚洲资本（Dymon Asia）成立于 2008年，是一家顶尖的专注于亚洲公司的投资产管理公司，其主要投资于私募股权和资本投资市场。公司旗下多策略投资基金 （MSIF） 寻求通过将资本分分散至不同资产类别的多元化投资组合，以最小的波动性产生资产相关性较小的回报。其资产管理规模达13亿美元</t>
  </si>
  <si>
    <t>Fideuram是意大利联合圣保罗银行集团旗下私人银行板块Fideuram的英国投资产管理子公司。Fideuram凭借其独特的业务模式，融合逾 6,500名私人银行家的专业实力，已成为意大利私人银行业的重要参与者。集团在意大利、爱尔兰及英国设立的资产管理公司专注于金融产品的开发与管理，由具备资深从业经验的专业团队负责市场分析、产品管理及投资顾问服务。截止到2023年12月31日，Fideuram管理的资产总规模高达3,598亿欧元。Fideuram英国资产管理的核心业务包括集团内部投资基金组合的管理，在集团跨境资产管理布局中发挥枢纽作用。</t>
  </si>
  <si>
    <t>富兰克林邓普顿（Franklin Templeton）成立于1947年，总部位于美国加利福尼亚州圣塔莫尼卡，是一家全球知名的投资产管理公司，提供多元化的投资产品和服务，涵盖股票、债券、共同基金、交易所交易基金（ETF）等多种投资工具。其投资策略包括全球股票、固定收益、房地产、另类投资等。目前，其资产管理规模为1.5万亿美元。</t>
  </si>
  <si>
    <t>富国基金（Fullgoal Fund）成立于1999年，是证监会批准设立的首批十家基金管理公司之一，总部位于上海，在北京、广州、成都设有分公司。富国基金已经形成权益投资、固定收益投资、量化投资三大投研平台，已覆盖主动权益、固收、量化、养老金投资、FOF等多个领域，具备多策略、多元化的投资产管理能力。资产管理规模约2,086亿美元</t>
  </si>
  <si>
    <t>广发基金（GF Fund）成立于2003年8月5日。公司下设广发国际资产管理有限公司、瑞元资本管理有限公司、瑞晨股权投资基金管理（广东）有限公司三家全资子公司。公司及旗下子公司拥有公募基金管理、社保基金境内委托投资产管理人、基本养老保险基金证券投资产管理理机构、特定客户资产管理、QDII、RQFII、QFII、QDLP、受托管理保险资金投资产管理理人、保险保障基金委托资产管理投资产管理理人和基金投资顾问等业务资格，是中国领先的具备综合资产管理能力与经验的大型基金管理公司。截至2025年12月31日，公司管理资产规模超2万亿元，管理公募基金453只，同时还管理多个特定客户资产管理投资组合、社保基金投资组合、养老基金投资组合。</t>
  </si>
  <si>
    <t>景林资产（Greenwoods）成立于2004年，是中国最早成立的私募证券投资基金管理公司之一。其强调对市场敏锐洞察力与投资组合的稳定性，体现价值投资理念。公司以价值投资为主导，注重基本面分析，投资领域涵盖境内外上市公司和拟上市公司股权，管理金色中国基金、 景林稳健等国内外信托投资计划，并开展私募股权投资产管理。资产管理规模为1,000亿人民币</t>
  </si>
  <si>
    <t>国惠香港（Guohui HK）成立于2018年8月，是山东国惠集团独资设立的境外投资产管理和境内外供应链服务公司。公司经营范围主要为投资及投资产管理、资产管理、并购重组、不良资产处置、大宗贸易等。公司坚持专业化、市场化发展之路，围绕集团产业布局，全力做好上下游供应链服务和境内外联动业务。</t>
  </si>
  <si>
    <t>海通国际资(Haitong Asset Management)为证监会之持牌法团，获准进行第4类（就证券提供意见）、第5类（就期货合约提供意见）、第9类（资产管理）受规管业务。具体营业范围涵盖传统证券投资及另类投资（如私募股权投资等），发行并管理一系列基金，同时也为其他机构投资者提供定制化的投资组合管理服务及投资顾问服务等。公司坚持价值投资，投资产管理理团队拥有丰富的全球金融市场研究及投资经验，建立了完善的投资产管理、风险控制和业绩评估等制度体系。公司依托集团的丰富资源，背靠中国内地、立足香港，面向全球，畅通连接中国与海外资本市场，旨在为内地机构客户、高净值个人客户投资海外市场提供全方位服务，并担当海外机构客户投资中国市场的引路人。</t>
  </si>
  <si>
    <t>恒生投资（Hang Seng Investment Management）是于1993年4月在香港成立的有限责任公司,为恒生银行有限公司的全资附属公司。恒生投资主要为恒生银行及恒生银行之客户提供专业的投资产管理服务，并在管理基金（包括一系列的零售基金及交易所买卖基金（ETF））、机构客户及私人客户投资组合方面具有丰富经验。资产管理规模约2,000亿人民币</t>
  </si>
  <si>
    <t>胜宏科技、兆威机电、沃尔核材、均胜电子、赛力斯、周六福、美的集团</t>
  </si>
  <si>
    <t>立格资本（LyGH Capital）是一家专注于大中华区股票的领先投资产管理公司。全球客户群包括知名捐赠基金、养老金、慈善基金会、家族办公室和其他长期资本配置者。专注于中国各行各业的长期增长机会，主要通过大中华区长/短线绝对回报股票型基金和大中华区纯长期股票型基金两种产品来实现风险调整后回报和长期资本增值。</t>
  </si>
  <si>
    <t>宏利资产管理（Manulife）是一家全球资产管理公司，由保险事业起家，投资产管理风格深具长期持有、严格管控风险的文化。宏利资产擅长管理不同类型的资产，包括股票、固定收益、另类投资工具，以及资产分配策略。宏利资产管理提供多元的保险及财富管理产品及服务。保险服务部份包括寿险、团体寿险和医疗险、住院保障给付及财富保值等，而财富管理部份则包含共同基金、退休金、年金和投资连结型商品。其资产管理规模约4500亿美元</t>
  </si>
  <si>
    <t>摩根士丹利投资产管理（MSIM）是摩根士丹利的投资产管理部门，以摩根士丹利的丰富资源为后盾，专注于长期业绩，并涵盖广泛的策略和风格。专注于多资产类别配置与主动管理策略，通过研究驱动的投资框架提供可持续解决方案，覆盖股票、固定收益、房地产及基础设施等多元领域，偏好的行业领域包括全球基础设施（如交通、能源）、房地产及高增长细分市场（如科技、消费升级与清洁技术）。管理资产1.6万亿美元</t>
  </si>
  <si>
    <t>新华人寿（NCI）是国内首批专业保险资产管理机构，前身为新华人寿保险股份有限公司投资产管理中心，控股股东为新华人寿保险股份有限公司。2020年上半年，公司管理的资产规模突破万亿元人民币，投资收益水平居行业前列，是货币市场的重要参与者。2013年12月，公司成立香港子公司，拓展海外投资平台。公司日益成为国内外股票市场、基金市场、债券市场等资本市场上重要的大型机构投资者之一。</t>
  </si>
  <si>
    <t>晋达（Ninety One）是一家全球性投资产管理机构。截至2024年，其管理资产规模（AUM）达1,260亿英镑（约1,590亿美元），以基本面驱动的股票精选为核心，结合全球宏观趋势分析与多元资产配置。总部设于伦敦和开普敦，业务覆盖股票、差异化固定收益及另类投资，尤其以新兴市场和可持续投资为战略核心</t>
  </si>
  <si>
    <t>橡树资本（Oaktree Capital）是全球领先的另类资产投资产管理人，在管资产规模为2,090亿美元，覆盖信贷、私募股权、房地产、上市股票等多个资产类别。橡树资本以价值为导向，注重安全边际，强调“避免损失优先于追求收益”，通过严格的风险评估和分散投资降低风险。投资领域包括高收益债券、私募股权、房地产、新兴市场股票等，通过跨资产类别的配置实现风险分散。</t>
  </si>
  <si>
    <t>平安资产管理香港（Ping An HK）成立于2006年5月，是香港领先的的中资资产管理公司之一。作为中国平安集团（2318.HK）旗下全资子公司，平安资产管理（香港）是中国平安海外投资产管理业务的主要平台。平安资产管理（香港）持有香港证监会（SFC）颁发的第4类、第5类和第9类牌照，获准管理资产、提供证券及期货的投资咨询服务。凭借平安资产管理（香港）丰富的中国内地专业投资经验，其投资团队致力为全球的机构投资者及基金发行人提供一系列香港/内地及人民币相关的投资解决方案。目前香港投资团队包括宏观和资产配置、股票组合管理、固定收益及货币市场组合管理，以及量化组合及ETF管理</t>
  </si>
  <si>
    <t>保银（Pinpoint）创立于1999年，是一家为全球机构投资者、私人银行、FOF、家族企业以及高资产净值人士提供专业投资产管理和咨询服务的多策略对冲基金管理公司，尤其专注于亚洲市场。公司运用自下而上的基本面研究方法寻找长期具有价值的投资机会，通过有效的资源和严格的风险控制程序，进行专业研究、谨慎评估，最大程度保护投资者利益。</t>
  </si>
  <si>
    <t>Polar Capital成立于2001年，是一家总部位于英国的投资产管理公司。该公司已构建起一系列按资产类别、地域、行业和结构进行多元化的投资组合，提供涵盖英国及国际股票，科技、医疗保健与金融等多个行业的多只基金。公司致力于扩大基金产品线，顺应全球市场趋势，并重点布局科技与可持续投资领域。凭借以客户为核心的服务理念，Polar Capital成功将战略性行业投资与严谨的投资流程相融合，现已在资产管理行业拥有了坚实的市场地位。资产管理规模为200亿美元。</t>
  </si>
  <si>
    <t>上实资本（SIIC）成立于2020年4月30日，作为上海上实集团旗下的主动型基金管理平台，专注于股权投资产管理与资产管理核心业务。自成立以来，公司始终立足上海、联动香港、面向全球，依托多币种、全阶段的基金矩阵布局，在智能科技、绿色环保、生物医药等战略新兴产业领域积极发掘并把握投资机遇</t>
  </si>
  <si>
    <t>陈小栋（董事总经理兼证券市场部总经理）</t>
  </si>
  <si>
    <t>中银基金是由中国银行股份有限公司和贝莱德投资产管理有限公司两大全球著名领先金融品牌强强联合组建的中外合资基金管理公司。总部位于上海，旗下拥有北京、华南、深圳等分公司，以及中银资产管理有限公司、中银（新加坡）资产管理有限公司。中银基金致力于成为全球多资产专家，截至2023年底，中银基金各类资产管理规模达5748亿人民币</t>
  </si>
  <si>
    <t>华泰自营是一家领先的科技驱动型综合证券集团。自1991年成立以来，华泰证券积极把握中国资本市场改革开放的历史机遇，在业内率先以金融科技助力转型，用全业务链服务体系为个人和机构客户提供专业、多元的证券金融服务。依托高度协同的业务模式、先进的数字化平台、广泛且紧密的客户资源，公司财富管理业务、机构服务业务、投资产管理业务和国际业务全方位发展，全力打造面向未来的差异化核心优势，竞争实力位居行业前列。公司拥有全资子公司华泰联合证券有限责任公司、华泰证券（上海）资产管理有限公司、华泰国际金融控股有限公司、华泰紫金投资有限责任公司、华泰创新投资有限公司、华泰期货有限公司；参股南方基金管理有限公司、华泰柏瑞基金管理有限公司、江苏银行股份有限公司等</t>
  </si>
  <si>
    <t>弘尚资产（香港）为国内头部私募证券管理人上海弘尚资产海外业务平台，专注为全球机构与高净值客户提供更多元化的资产管理与资本市场解决方案。由行业资深专家尚健博士创办并控股。集团上海弘尚于2013年设立，2014年获评中基协首批私募基金管理人，采用多头Long Only价值投资策略，全程对标公募基金合规运营标准，治理架构成熟规范。</t>
  </si>
  <si>
    <t>1.7万亿美元</t>
  </si>
  <si>
    <t>370.1亿欧元</t>
  </si>
  <si>
    <t>3.4万亿美元</t>
  </si>
  <si>
    <t>约7230亿美元</t>
  </si>
  <si>
    <t>2,100亿美元</t>
  </si>
  <si>
    <t>中邮理财是中国邮政储蓄银行股份有限公司的全资子公司，注册资本80亿元人民币，注册地为北京，于2019年12月获批成立，主要从事发行公募理财产品、发行私募理财产品、理财顾问和咨询等资产管理相关业务。中邮理财致力于建设成为以客户为中心，审慎稳健、专业开放、创新领先、价值卓越的一流银行系资产管理公司。截至2024年末，邮储银行管理个人客户资产规模达到16.69万亿元。</t>
  </si>
  <si>
    <t>16.69万亿元</t>
  </si>
  <si>
    <t>SK集团成立于1953年，是韩国第二大企业集团，SK在2025年位列《财富》杂志世界500强第114位。SK作为首家在华设立分支机构的韩国大企业，1991年就在北京设立了办事处。SK通过全球合作伙伴计划，从长远的角度出发，与中国当地合作伙伴、社区开展合作，推动共同发展的本土化战略。SK集团共有18家成员公司在中国有2.4万名员工，总投资额达430亿美元。SK集团资产总额约2,500亿美元。</t>
  </si>
  <si>
    <t>国投证券</t>
  </si>
  <si>
    <t>SDIC</t>
  </si>
  <si>
    <t>國投證券股份有限公司（簡稱「國投證券」），經中國證監會批准，於2009年4年29日正式完成收購原南方證券（香港）有限公司，並于同年5月22日正式更名為安信國際金融控股有限公司（簡稱：安信國際）。由於國投集團戰略定位和業務發展需要，安信國際於2024年9月5日正式更名為：國投證券國際金融控股有限公司。國投證券國際為國投證券股份有限公司之海外全資附屬公司，其股東為國家開發投資集團有限公司旗下的國投資本股份有限公司（600061.SH）</t>
  </si>
  <si>
    <t>200亿港元</t>
  </si>
  <si>
    <t>光合资本</t>
  </si>
  <si>
    <t>光合公司是美元和人民币产业CVC，专注上游半导体，中游Ai大模型，下游机器人等领域的投资和实业。公司分为投资和产业协同两个事业部：
一，光合资本：2025年成功投资了壁仞科技，天数智芯，MiniMax，曦智等优质AI基建和大模型公司。2026年公司会继续深挖国产替代的卡脖子重点行业，包括一级市场和香港的国际配售项目等等。
二，光合科技：2025年成功为公司投资的国产GPU企业累计完成过亿元产品销售，同时也完成10亿级的N卡服务器销售。2026年公司会进一步深耕算力中心，模型部署，机器人数据采集等解决方案落地。</t>
  </si>
  <si>
    <t>汉高控股</t>
  </si>
  <si>
    <t>Hamco</t>
  </si>
  <si>
    <t>汉高控股 (HAMCO “汉高”) 是一家领先的专业投资机构。公司由具有多年金融及资产管理从业经验的华尔街高管于2018年成立。先后在香港，北京，杭州设立办公室。 以“同心同道，共创长期价值为客”为使命。目前拥有私募股权投资、风险创投、对冲基金、专户投顾 、不动产投资等业务板块。汉高私募股权投资专注中国市场，已在AI 人工智能, 金融科技，文娱和医疗大健康等领域投资了头部独角兽企业，包括字节跳动，快手，明略科技，微众银行，商汤科技等行业翘楚。</t>
  </si>
  <si>
    <t>Matthews Asia</t>
  </si>
  <si>
    <t>Matthews Asia成立于1991年。公司专注于亚洲市场，并将业务拓展至新兴市场，这使公司能够深入了解亚洲市场、企业和证券。通过严谨的自主研究，公司评估风险和机遇，构建投资组合，力求达到公司为客户提供的卓越投资标准。随着亚洲及其他新兴市场对全球经济的影响力和联系日益加深，公司也相应地扩展了研究能力，专注于以亚洲为主导的资产类别。截至2026年4月30日，Matthews Asia管理的资产规模达71亿美元。</t>
  </si>
  <si>
    <t>71亿美元</t>
  </si>
  <si>
    <t>一瓢资本</t>
  </si>
  <si>
    <t>Aspoon Capital</t>
  </si>
  <si>
    <t>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t>
  </si>
  <si>
    <t>5,600美元</t>
  </si>
  <si>
    <t>Nine Masts Capital</t>
  </si>
  <si>
    <t>Nine Masts Capital是一家总部位于香港的对冲基金管理公司，由王兵于2010年创立。这家多元策略公司交易多种资产类别，包括股票、信贷、可转换债券、数字资产和外汇，主要在亚洲市场开展业务。其资产管理规模约9亿美元。</t>
  </si>
  <si>
    <t>9亿美元</t>
  </si>
  <si>
    <t>oasis</t>
  </si>
  <si>
    <t>fac</t>
  </si>
  <si>
    <t>Cita</t>
  </si>
  <si>
    <t>Y2</t>
  </si>
  <si>
    <t>Centiv</t>
  </si>
  <si>
    <t>Polymer</t>
  </si>
  <si>
    <t>D.E.</t>
  </si>
  <si>
    <t>Vir</t>
  </si>
  <si>
    <t>Anlan</t>
  </si>
  <si>
    <t xml:space="preserve">Nine </t>
  </si>
  <si>
    <t>Aspoon</t>
  </si>
  <si>
    <t>Oakwise</t>
  </si>
  <si>
    <t>投资机构</t>
  </si>
  <si>
    <t>参会人</t>
  </si>
  <si>
    <t>公司简介</t>
  </si>
  <si>
    <t>Y2 Capital
奕图资本</t>
  </si>
  <si>
    <t xml:space="preserve">Centiva Capital
</t>
  </si>
  <si>
    <t>Polymer Capital
柏骏资本</t>
  </si>
  <si>
    <t>D.E. Shaw
德邵基金</t>
  </si>
  <si>
    <t xml:space="preserve">Viridian
</t>
  </si>
  <si>
    <t>Anlan Capital
安澜资本</t>
  </si>
  <si>
    <t xml:space="preserve">Oasis Management
</t>
  </si>
  <si>
    <t xml:space="preserve">Factorial
</t>
  </si>
  <si>
    <t>EIP
易亚投资</t>
  </si>
  <si>
    <t xml:space="preserve">Matrix Capital
</t>
  </si>
  <si>
    <t xml:space="preserve">Citadel
</t>
  </si>
  <si>
    <t xml:space="preserve">Monashee
</t>
  </si>
  <si>
    <t xml:space="preserve">Nine Masts Capital
</t>
  </si>
  <si>
    <t>Aspoon Capital
一瓢资本</t>
  </si>
  <si>
    <t>Oakwise Capital
瑞橡资本</t>
  </si>
  <si>
    <t>Cithara
信庭</t>
  </si>
  <si>
    <t>Richard Guan</t>
  </si>
  <si>
    <t>（高级分析师）</t>
  </si>
  <si>
    <t>Kyle Chan</t>
  </si>
  <si>
    <t>（基金经理）</t>
  </si>
  <si>
    <t>Gin Tian</t>
  </si>
  <si>
    <t>Kathy Peng</t>
  </si>
  <si>
    <t>Mimi Kong</t>
  </si>
  <si>
    <t>Kelvin Peng</t>
  </si>
  <si>
    <t>Hao Wu</t>
  </si>
  <si>
    <t>Dave Yin</t>
  </si>
  <si>
    <t>胡雪阳</t>
  </si>
  <si>
    <t>James Cheung</t>
  </si>
  <si>
    <t>Elaine Wang</t>
  </si>
  <si>
    <r>
      <t>（</t>
    </r>
    <r>
      <rPr>
        <sz val="9.5"/>
        <color theme="1"/>
        <rFont val="Arial"/>
        <family val="2"/>
      </rPr>
      <t>ECM</t>
    </r>
    <r>
      <rPr>
        <sz val="9.5"/>
        <color theme="1"/>
        <rFont val="KaiTi"/>
        <charset val="134"/>
      </rPr>
      <t>董事）</t>
    </r>
  </si>
  <si>
    <t>Aylee Wakatsuki</t>
  </si>
  <si>
    <t>（投资分析师）</t>
  </si>
  <si>
    <t>Rishabh Jhunjhunwala</t>
  </si>
  <si>
    <t>（分析师）</t>
  </si>
  <si>
    <t>Muyang</t>
  </si>
  <si>
    <t>Jack</t>
  </si>
  <si>
    <t>（创始人）</t>
  </si>
  <si>
    <t>Yvette</t>
  </si>
  <si>
    <t>（执行董师）</t>
  </si>
  <si>
    <t>Barnaby Joll</t>
  </si>
  <si>
    <t>（高级基金经理）</t>
  </si>
  <si>
    <t>Ryan</t>
  </si>
  <si>
    <t>Vincent</t>
  </si>
  <si>
    <t>Felix Huang</t>
  </si>
  <si>
    <t>（权益投资部主管）</t>
  </si>
  <si>
    <t>王辉</t>
  </si>
  <si>
    <t>（董事总经理）</t>
  </si>
  <si>
    <t>Richard Guan（高级分析师）</t>
  </si>
  <si>
    <t>Kyle Chan（基金经理）</t>
  </si>
  <si>
    <t>Gin Tian（基金经理）</t>
  </si>
  <si>
    <t>Hao Wu（高级分析师）</t>
  </si>
  <si>
    <t>Dave Yin（高级分析师）</t>
  </si>
  <si>
    <t>胡雪阳（高级分析师）</t>
  </si>
  <si>
    <t>James Cheung（高级分析师）</t>
  </si>
  <si>
    <t>Rishabh Jhunjhunwala（分析师）</t>
  </si>
  <si>
    <t>Muyang（分析师）</t>
  </si>
  <si>
    <t>Barnaby Joll（高级基金经理）</t>
  </si>
  <si>
    <t>Felix Huang（权益投资部主管）</t>
  </si>
  <si>
    <t>王辉（董事总经理）</t>
  </si>
  <si>
    <t>Kathy Peng（基金经理）
Mimi Kong（基金经理）
Kelvin Peng（基金经理）</t>
  </si>
  <si>
    <t>Elaine Wang（ECM董事）
Aylee Wakatsuki（投资分析师）</t>
  </si>
  <si>
    <t>Jack（创始人）
Yvette（执行董师）</t>
  </si>
  <si>
    <t>Ryan（基金经理）
Vincent（分析师）</t>
  </si>
  <si>
    <t>Oasis Management由Seth Fischer于2002年创立，团队覆盖香港、东京、奥斯汀及开曼群岛，拥有50多名专业人才，是一家国际投资产管理理公司。</t>
  </si>
  <si>
    <t>Factorial是一家总部位于香港的对冲基金管理公司，由Barun Agarwal于2011年创立，专注于泛亚洲多策略投资。</t>
  </si>
  <si>
    <t>易亚投资（EIP）成立于2002年，总部位于香港，专注于亚太地区的投资机会。</t>
  </si>
  <si>
    <t>约10亿美元</t>
  </si>
  <si>
    <t>Matrix Capital以自有资金及所管理的股权基金为依托，聚焦大中华区具有长期增长潜力、行业领头地位及独特竞争优势的企业，核心投资领域涵盖高科技、新经济、医疗健康及大消费等行业。</t>
  </si>
  <si>
    <t>690亿美元</t>
  </si>
  <si>
    <t>Citadel是一家美国的多策略另类投资产管理公司，投资策略主要基于基本面分析和计量金融分析。</t>
  </si>
  <si>
    <t>超19 亿美元</t>
  </si>
  <si>
    <t>Monashee是一家总部位于美国波士顿的投资顾问机构，成立于 2011 年，为机构客户、家族办公室及高净值个人提供涵盖多种策略的投资产管理 理服务。</t>
  </si>
  <si>
    <t>奕图资本（Y2 Capital）是一家总部位于香港的资产管理公司，由首席投资官富雷先生于 2020 年创立，为负责任投资原则（UN PRI）签署机构。</t>
  </si>
  <si>
    <t>Centiva Capital是一家位于美国纽约的金融投资公司，专注于为机构及个人投资者发掘另类投资机遇。</t>
  </si>
  <si>
    <t>500亿美元</t>
  </si>
  <si>
    <t>Viridian是亚洲市场活跃度较高的对冲基金，由前 Segantii 基金经理 Pascal Guttieres 于 2024 年创立。其投资聚焦亚洲股票市场及基本面优质、具备成长性的企业，覆盖 IPO、大宗交易（Block Trade）、可转债（CB）等多元产品。</t>
  </si>
  <si>
    <t>安澜资本（Anlan Capital）是一家全球领先的多元化资产管理公司，公司的资产管理产品涉及私募股权、房产基金、对冲基金、固定收益等多个投资领域。</t>
  </si>
  <si>
    <t>Nine Masts Capital是由王兵于2010年创立。这家多元策略公司交易多种资产类别，包括股票、信贷、可转换债券、数字资产和外汇，主要在亚洲市场开展业务。</t>
  </si>
  <si>
    <t>一瓢资本(Aspoon Capital)是一家总部位于香港的多空策略股票对冲基金，成立于2020年，专注于大中华区市场。</t>
  </si>
  <si>
    <t>瑞橡资本（Oakwise Capital）是一家在香港证监会注册的资产管理公司，2018年由王风雨博士创立，专注投资于大中华地区。</t>
  </si>
  <si>
    <t xml:space="preserve">信庭（Cithara）是一家资产管理公司，通过提供定制的投资和融资解决方案满足各种客户的需求，其涵盖各种资产类别，如固定收益，股票，外汇，商品，衍生品和私募/创投基金。 </t>
  </si>
  <si>
    <t>約270亿美元</t>
  </si>
  <si>
    <t>约20亿美元</t>
  </si>
  <si>
    <t>超1,000亿美元</t>
  </si>
  <si>
    <t>创想三维</t>
  </si>
  <si>
    <t>兆威机电、沃尔核材、爱芯元智、迅策</t>
  </si>
  <si>
    <t>沃尔核材、壁仞科技</t>
  </si>
  <si>
    <t>创新实业、创新三维</t>
  </si>
  <si>
    <t>兆威机电</t>
  </si>
  <si>
    <t>长光辰芯、拓璞数控、迅策、卧安机器人、HASHKEY HLDGS、剑桥科技、不同集团</t>
  </si>
  <si>
    <t>Dream'ee</t>
  </si>
  <si>
    <t>君宜香港资本有限公司（Dream'ee (Hong Kong) Capital Limited）是一家在香港持牌的金融机构，受香港证券及期货事务监察委员会（证监会）监管。其主要业务包括企业融资、二级股权市场投资、首次公开募股（IPO）、债券及衍生品交易。</t>
  </si>
  <si>
    <t>君宜资本</t>
  </si>
  <si>
    <t>Dream'ee Capital</t>
  </si>
  <si>
    <t>china life fr</t>
  </si>
  <si>
    <t>ghisa</t>
  </si>
  <si>
    <t>taikang</t>
  </si>
  <si>
    <t>Dream'ee Capital
君宜资本</t>
  </si>
  <si>
    <t>China Life Franklin
中国人寿富兰克林</t>
  </si>
  <si>
    <t xml:space="preserve">Ghisallo
</t>
  </si>
  <si>
    <t xml:space="preserve">Jump Trading
</t>
  </si>
  <si>
    <t>君宜香港资本有限公司（Dream'ee (Hong Kong) Capital Limited）主要业务包括企业融资、二级股权市场投资、首次公开募股（IPO）、债券及衍生品交易。</t>
  </si>
  <si>
    <t>中国人寿富蘭克林（China Life Franklin）成立于2003年，是由中国人寿保险和富兰克林邓普顿投资集团（Franklin Templeton）共同成立的合资公司，专注于资产管理业务，服务对象包括机构投资者和个人投资者。</t>
  </si>
  <si>
    <t>80亿美元</t>
  </si>
  <si>
    <t>Ghisallo是一家总部位于马萨诸塞州波士顿的对冲基金，专注于全球投资，利用全球宏观、多头/空头股票、信贷、不良信贷、事件驱动和相对价值投资。</t>
  </si>
  <si>
    <t>泰康资产管理(Taikang AM)作为中国领先的保险系资产管理平台，依托泰康保险集团生态构建"长期资金管理+多元化资产创设"双引擎驱动模式。</t>
  </si>
  <si>
    <t>Jump Trading成立于 1999年，是一家专注于算法交易和高频交易策略的专营交易公司，活跃于全球期货、期权、加密货币和股票市场。</t>
  </si>
  <si>
    <t>超2,750亿港元</t>
  </si>
  <si>
    <t>Hansen Guo
（分析师）</t>
  </si>
  <si>
    <t>齐凡 
（基金经理）</t>
  </si>
  <si>
    <t>Vivian Lau 
（高级分析师）</t>
  </si>
  <si>
    <t>张厚喆
（研久员）</t>
  </si>
  <si>
    <t>Phoebe Guo
（基金经理）
Wen Bo
（高级分析师）</t>
  </si>
  <si>
    <t>埃斯顿、果下科技、纳芯微、遇见小面、广和通、周六福</t>
  </si>
  <si>
    <t>豪威集团、小马智行-W、赛力斯、三一重工、顺丰控股、华润饮料</t>
  </si>
  <si>
    <t>华勤技术、群核科技、澜起科技、东鹏饮料、鸣鸣很忙、兆易创新、Minimax-WP、智谱、壁仞科技、英矽智能、创新实业、剑桥科技、紫金黄金国际等</t>
  </si>
  <si>
    <t>盘京</t>
  </si>
  <si>
    <t>盘京投资</t>
  </si>
  <si>
    <t>orchid</t>
  </si>
  <si>
    <t xml:space="preserve">
盘京投资</t>
  </si>
  <si>
    <t>Loyal Valley Capital
正心谷</t>
  </si>
  <si>
    <t>Spring Capital
淡水泉</t>
  </si>
  <si>
    <t>66亿美元</t>
  </si>
  <si>
    <t>淡水泉（Spring Capital）成立于 2007 年，是中国领先的私募证券基金管理人之一。淡水泉挖掘长期价值，坚持基本面为导向的投资，偏好那些具有优秀公司治理、可被证明的过往经营管理能力的公司。</t>
  </si>
  <si>
    <t>上海盘京是中国资本市场的新锐投资力量，成立于2016年，目前已经成为境内知名百亿私募。公司投资领域覆盖TMT、金融&amp;地产、消费&amp;医药、电新&amp;制造业、能源化工&amp;周期品等。</t>
  </si>
  <si>
    <t>超500亿人民币</t>
  </si>
  <si>
    <t>正心谷资本于2015年成立，名字源于 “Loyal to our heart”，其投资覆盖新消费、医疗健康、现代金融、科技制造等领域，涉及早期、风险、私募股权、上市公司及并购投资各阶段 。</t>
  </si>
  <si>
    <t>兰馨亚洲（Orchid Asia）成立于1993年，是首批投资中国的国际私募股权机构之一，公司主要投资于具有持续增长潜力、高进入壁垒并处于扩张期的消费产品及服务行业、高新科技、医疗和外包制造服务业。</t>
  </si>
  <si>
    <t>超200亿人民币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</si>
</sst>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quot;年&quot;m&quot;月&quot;d&quot;日&quot;;@"/>
    <numFmt numFmtId="165" formatCode="yyyy/m/d;@"/>
    <numFmt numFmtId="166" formatCode="m&quot;月&quot;d&quot;日&quot;;@"/>
    <numFmt numFmtId="167" formatCode="m/d/yyyy"/>
  </numFmts>
  <fonts count="43">
    <font>
      <sz val="12"/>
      <color theme="1"/>
      <name val="Calibri"/>
      <family val="2"/>
      <scheme val="minor"/>
    </font>
    <font>
      <sz val="9"/>
      <color theme="1"/>
      <name val="KaiTi"/>
      <charset val="134"/>
    </font>
    <font>
      <sz val="10"/>
      <color theme="1"/>
      <name val="Arial"/>
      <family val="2"/>
    </font>
    <font>
      <u/>
      <sz val="12"/>
      <color theme="10"/>
      <name val="Calibri"/>
      <family val="2"/>
      <scheme val="minor"/>
    </font>
    <font>
      <sz val="10"/>
      <color rgb="FF000000"/>
      <name val="KaiTi"/>
      <charset val="134"/>
    </font>
    <font>
      <sz val="10"/>
      <color rgb="FF000000"/>
      <name val="Microsoft YaHei UI"/>
      <family val="2"/>
    </font>
    <font>
      <sz val="10"/>
      <color rgb="FF000000"/>
      <name val="Calibri"/>
      <family val="2"/>
      <scheme val="minor"/>
    </font>
    <font>
      <sz val="15"/>
      <color rgb="FF000000"/>
      <name val="Google Sans"/>
    </font>
    <font>
      <sz val="10"/>
      <color rgb="FF000000"/>
      <name val="KaiTi_GB2312"/>
      <charset val="134"/>
    </font>
    <font>
      <sz val="9"/>
      <color rgb="FF000000"/>
      <name val="KaiTi"/>
      <charset val="134"/>
    </font>
    <font>
      <sz val="12"/>
      <color rgb="FF191919"/>
      <name val="-apple-system"/>
    </font>
    <font>
      <sz val="9"/>
      <color rgb="FF000000"/>
      <name val="Arial"/>
      <family val="2"/>
    </font>
    <font>
      <sz val="10"/>
      <color rgb="FF000000"/>
      <name val="Microsoft GothicNeo"/>
    </font>
    <font>
      <sz val="10"/>
      <color rgb="FF000000"/>
      <name val="Arial Hebrew"/>
      <charset val="177"/>
    </font>
    <font>
      <sz val="11"/>
      <color rgb="FF000000"/>
      <name val="Arial"/>
      <family val="2"/>
    </font>
    <font>
      <sz val="9"/>
      <color rgb="FF000000"/>
      <name val="Calibri"/>
      <family val="2"/>
      <scheme val="minor"/>
    </font>
    <font>
      <sz val="12"/>
      <color rgb="FF000000"/>
      <name val="Calibri"/>
      <family val="2"/>
      <scheme val="minor"/>
    </font>
    <font>
      <sz val="12"/>
      <color theme="1"/>
      <name val="Noto Sans CJK SC"/>
      <family val="2"/>
    </font>
    <font>
      <sz val="12"/>
      <color rgb="FF000000"/>
      <name val="Aptos Narrow"/>
      <family val="2"/>
    </font>
    <font>
      <sz val="12"/>
      <color rgb="FF000000"/>
      <name val="Noto Sans CJK SC"/>
      <family val="2"/>
    </font>
    <font>
      <sz val="8"/>
      <name val="Calibri"/>
      <family val="2"/>
      <scheme val="minor"/>
    </font>
    <font>
      <sz val="12"/>
      <color theme="0"/>
      <name val="Calibri"/>
      <family val="2"/>
      <scheme val="minor"/>
    </font>
    <font>
      <b/>
      <sz val="10"/>
      <color theme="4"/>
      <name val="Arial"/>
      <family val="2"/>
    </font>
    <font>
      <sz val="11"/>
      <color theme="1"/>
      <name val="Arial"/>
      <family val="2"/>
    </font>
    <font>
      <sz val="10"/>
      <color theme="1"/>
      <name val="KaiTi"/>
      <charset val="134"/>
    </font>
    <font>
      <sz val="20"/>
      <color rgb="FF000000"/>
      <name val="Calibri"/>
      <family val="2"/>
    </font>
    <font>
      <sz val="20"/>
      <color rgb="FF000000"/>
      <name val="Aptos Narrow"/>
    </font>
    <font>
      <sz val="18"/>
      <color rgb="FF000000"/>
      <name val="Aptos Narrow"/>
    </font>
    <font>
      <sz val="10"/>
      <color theme="1"/>
      <name val="KaiTi"/>
      <family val="2"/>
      <charset val="134"/>
    </font>
    <font>
      <b/>
      <sz val="14"/>
      <color rgb="FF000000"/>
      <name val="Microsoft YaHei UI"/>
      <family val="2"/>
      <charset val="134"/>
    </font>
    <font>
      <sz val="10"/>
      <color rgb="FF000000"/>
      <name val="Microsoft YaHei UI"/>
      <family val="2"/>
      <charset val="134"/>
    </font>
    <font>
      <sz val="12"/>
      <color rgb="FF000000"/>
      <name val="Microsoft YaHei UI"/>
      <family val="2"/>
      <charset val="134"/>
    </font>
    <font>
      <sz val="10"/>
      <color rgb="FF000000"/>
      <name val="等线"/>
      <family val="4"/>
      <charset val="134"/>
    </font>
    <font>
      <u/>
      <sz val="11"/>
      <color rgb="FF0000FF"/>
      <name val="Microsoft YaHei UI"/>
      <family val="2"/>
      <charset val="134"/>
    </font>
    <font>
      <sz val="9"/>
      <color rgb="FF000000"/>
      <name val="Microsoft YaHei UI"/>
      <family val="2"/>
      <charset val="134"/>
    </font>
    <font>
      <sz val="11"/>
      <color rgb="FF000000"/>
      <name val="Aptos Narrow"/>
    </font>
    <font>
      <sz val="9"/>
      <color theme="1"/>
      <name val="Arial"/>
      <family val="2"/>
    </font>
    <font>
      <sz val="9"/>
      <name val="Arial"/>
      <family val="2"/>
    </font>
    <font>
      <sz val="12"/>
      <color theme="1"/>
      <name val="Helvetica"/>
      <family val="2"/>
    </font>
    <font>
      <sz val="12"/>
      <color rgb="FF333333"/>
      <name val="Calibri"/>
      <family val="2"/>
      <scheme val="minor"/>
    </font>
    <font>
      <sz val="11"/>
      <color rgb="FF000000"/>
      <name val="Calibri"/>
      <family val="2"/>
      <scheme val="minor"/>
    </font>
    <font>
      <sz val="9.5"/>
      <color theme="1"/>
      <name val="Arial"/>
      <family val="2"/>
    </font>
    <font>
      <sz val="9.5"/>
      <color theme="1"/>
      <name val="KaiTi"/>
      <charset val="134"/>
    </font>
  </fonts>
  <fills count="38">
    <fill>
      <patternFill patternType="none"/>
    </fill>
    <fill>
      <patternFill patternType="gray125"/>
    </fill>
    <fill>
      <patternFill patternType="solid">
        <fgColor theme="5" tint="0.79992065187536243"/>
        <bgColor indexed="65"/>
      </patternFill>
    </fill>
    <fill>
      <patternFill patternType="solid">
        <fgColor theme="3" tint="0.49992370372631001"/>
        <bgColor indexed="65"/>
      </patternFill>
    </fill>
    <fill>
      <patternFill patternType="solid">
        <fgColor theme="3" tint="0.89992980742820516"/>
        <bgColor indexed="65"/>
      </patternFill>
    </fill>
    <fill>
      <patternFill patternType="solid">
        <fgColor theme="5" tint="0.39997558519241921"/>
        <bgColor indexed="65"/>
      </patternFill>
    </fill>
    <fill>
      <patternFill patternType="solid">
        <fgColor theme="0" tint="-4.9989318521683403E-2"/>
        <bgColor indexed="65"/>
      </patternFill>
    </fill>
    <fill>
      <patternFill patternType="solid">
        <fgColor theme="5" tint="0.79985961485641044"/>
        <bgColor indexed="65"/>
      </patternFill>
    </fill>
    <fill>
      <patternFill patternType="solid">
        <fgColor theme="3" tint="0.89989928891872917"/>
        <bgColor indexed="65"/>
      </patternFill>
    </fill>
    <fill>
      <patternFill patternType="solid">
        <fgColor theme="5" tint="-0.249977111117893"/>
        <bgColor indexed="65"/>
      </patternFill>
    </fill>
    <fill>
      <patternFill patternType="solid">
        <fgColor rgb="FFC9815B"/>
      </patternFill>
    </fill>
    <fill>
      <patternFill patternType="solid">
        <fgColor rgb="FFDDC4B7"/>
      </patternFill>
    </fill>
    <fill>
      <patternFill patternType="solid">
        <fgColor rgb="FF4D93D9"/>
      </patternFill>
    </fill>
    <fill>
      <patternFill patternType="solid">
        <fgColor rgb="FFDAE9F8"/>
      </patternFill>
    </fill>
    <fill>
      <patternFill patternType="solid">
        <fgColor theme="5" tint="0.39973143711661124"/>
        <bgColor indexed="65"/>
      </patternFill>
    </fill>
    <fill>
      <patternFill patternType="solid">
        <fgColor theme="3" tint="0.49986266670735802"/>
        <bgColor indexed="65"/>
      </patternFill>
    </fill>
    <fill>
      <patternFill patternType="solid">
        <fgColor theme="3" tint="0.89999084444715716"/>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DEC4B8"/>
        <bgColor indexed="64"/>
      </patternFill>
    </fill>
    <fill>
      <patternFill patternType="solid">
        <fgColor theme="5" tint="-0.249977111117893"/>
        <bgColor indexed="64"/>
      </patternFill>
    </fill>
    <fill>
      <patternFill patternType="solid">
        <fgColor rgb="FFCA815B"/>
        <bgColor indexed="64"/>
      </patternFill>
    </fill>
    <fill>
      <patternFill patternType="solid">
        <fgColor rgb="FFF1A983"/>
        <bgColor indexed="64"/>
      </patternFill>
    </fill>
    <fill>
      <patternFill patternType="solid">
        <fgColor rgb="FFFCE2D6"/>
        <bgColor indexed="64"/>
      </patternFill>
    </fill>
    <fill>
      <patternFill patternType="solid">
        <fgColor theme="3" tint="0.49998474074526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C00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indexed="65"/>
        <bgColor indexed="64"/>
      </patternFill>
    </fill>
    <fill>
      <patternFill patternType="solid">
        <fgColor rgb="FFFFFF00"/>
        <bgColor indexed="64"/>
      </patternFill>
    </fill>
    <fill>
      <patternFill patternType="solid">
        <fgColor rgb="FFFBE3D6"/>
        <bgColor indexed="64"/>
      </patternFill>
    </fill>
    <fill>
      <patternFill patternType="solid">
        <fgColor rgb="FF8CDDFA"/>
        <bgColor indexed="64"/>
      </patternFill>
    </fill>
    <fill>
      <patternFill patternType="solid">
        <fgColor rgb="FFF2F2F2"/>
        <bgColor indexed="64"/>
      </patternFill>
    </fill>
    <fill>
      <patternFill patternType="solid">
        <fgColor rgb="FF001F60"/>
        <bgColor indexed="64"/>
      </patternFill>
    </fill>
  </fills>
  <borders count="5">
    <border>
      <left/>
      <right/>
      <top/>
      <bottom/>
      <diagonal/>
    </border>
    <border>
      <left style="thin">
        <color rgb="FF44B3E1"/>
      </left>
      <right/>
      <top style="thin">
        <color rgb="FF44B3E1"/>
      </top>
      <bottom style="thin">
        <color rgb="FF44B3E1"/>
      </bottom>
      <diagonal/>
    </border>
    <border>
      <left/>
      <right style="thin">
        <color rgb="FF44B3E1"/>
      </right>
      <top style="thin">
        <color rgb="FF44B3E1"/>
      </top>
      <bottom style="thin">
        <color rgb="FF44B3E1"/>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cellStyleXfs>
  <cellXfs count="20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4" fillId="0" borderId="0" xfId="0" applyFont="1" applyAlignment="1">
      <alignment vertical="center"/>
    </xf>
    <xf numFmtId="0" fontId="5" fillId="0" borderId="0" xfId="0" applyFont="1" applyAlignment="1">
      <alignment horizontal="left" vertical="center" wrapText="1"/>
    </xf>
    <xf numFmtId="0" fontId="6" fillId="0" borderId="0" xfId="0" applyFont="1" applyAlignment="1">
      <alignment horizontal="left" vertical="center"/>
    </xf>
    <xf numFmtId="0" fontId="6" fillId="0" borderId="0" xfId="0" applyFont="1" applyAlignment="1">
      <alignment horizontal="left" vertical="center" wrapText="1"/>
    </xf>
    <xf numFmtId="0" fontId="5" fillId="0" borderId="0" xfId="0" applyFont="1" applyAlignment="1">
      <alignment vertical="center"/>
    </xf>
    <xf numFmtId="0" fontId="9" fillId="0" borderId="0" xfId="0" applyFont="1" applyAlignment="1">
      <alignment horizontal="left" vertical="center"/>
    </xf>
    <xf numFmtId="0" fontId="11" fillId="0" borderId="0" xfId="0" applyFont="1" applyAlignment="1">
      <alignment horizontal="left" vertical="center"/>
    </xf>
    <xf numFmtId="0" fontId="12" fillId="0" borderId="0" xfId="0" applyFont="1" applyAlignment="1">
      <alignment horizontal="left" vertical="center" wrapText="1"/>
    </xf>
    <xf numFmtId="0" fontId="6" fillId="0" borderId="0" xfId="0" applyFont="1" applyAlignment="1">
      <alignment horizontal="left" wrapText="1"/>
    </xf>
    <xf numFmtId="0" fontId="11" fillId="0" borderId="0" xfId="0" applyFont="1" applyAlignment="1">
      <alignment vertical="center"/>
    </xf>
    <xf numFmtId="0" fontId="9" fillId="0" borderId="0" xfId="0" applyFont="1" applyAlignment="1">
      <alignment horizontal="left" wrapText="1"/>
    </xf>
    <xf numFmtId="0" fontId="11" fillId="0" borderId="0" xfId="0" applyFont="1" applyAlignment="1">
      <alignment horizontal="left" vertical="center" wrapText="1"/>
    </xf>
    <xf numFmtId="0" fontId="13" fillId="0" borderId="0" xfId="0" applyFont="1" applyAlignment="1">
      <alignment horizontal="left" vertical="center" wrapText="1"/>
    </xf>
    <xf numFmtId="0" fontId="6" fillId="0" borderId="0" xfId="0" applyFont="1" applyAlignment="1">
      <alignment vertical="center" wrapText="1"/>
    </xf>
    <xf numFmtId="0" fontId="9" fillId="0" borderId="0" xfId="0" applyFont="1" applyAlignment="1">
      <alignment vertical="center"/>
    </xf>
    <xf numFmtId="0" fontId="14" fillId="0" borderId="0" xfId="0" applyFont="1" applyAlignment="1">
      <alignment horizontal="left" vertical="center"/>
    </xf>
    <xf numFmtId="0" fontId="8" fillId="0" borderId="0" xfId="0" applyFont="1" applyAlignment="1">
      <alignment horizontal="left" vertical="center"/>
    </xf>
    <xf numFmtId="0" fontId="15" fillId="0" borderId="0" xfId="0" applyFont="1" applyAlignment="1">
      <alignment vertical="center"/>
    </xf>
    <xf numFmtId="0" fontId="3" fillId="0" borderId="0" xfId="1"/>
    <xf numFmtId="0" fontId="0" fillId="6" borderId="0" xfId="0" applyFill="1"/>
    <xf numFmtId="167" fontId="0" fillId="6" borderId="0" xfId="0" applyNumberFormat="1" applyFill="1"/>
    <xf numFmtId="0" fontId="17" fillId="8" borderId="0" xfId="0" applyFont="1" applyFill="1"/>
    <xf numFmtId="0" fontId="0" fillId="9" borderId="0" xfId="0" applyFill="1"/>
    <xf numFmtId="0" fontId="0" fillId="10" borderId="0" xfId="0" applyFill="1" applyAlignment="1">
      <alignment wrapText="1"/>
    </xf>
    <xf numFmtId="0" fontId="17" fillId="10" borderId="0" xfId="0" applyFont="1" applyFill="1" applyAlignment="1">
      <alignment wrapText="1"/>
    </xf>
    <xf numFmtId="0" fontId="0" fillId="11" borderId="0" xfId="0" applyFill="1"/>
    <xf numFmtId="0" fontId="0" fillId="7" borderId="0" xfId="0" applyFill="1"/>
    <xf numFmtId="0" fontId="0" fillId="0" borderId="0" xfId="0" applyAlignment="1">
      <alignment wrapText="1"/>
    </xf>
    <xf numFmtId="0" fontId="16" fillId="0" borderId="0" xfId="0" applyFont="1"/>
    <xf numFmtId="0" fontId="17" fillId="0" borderId="0" xfId="0" applyFont="1"/>
    <xf numFmtId="0" fontId="2" fillId="9" borderId="0" xfId="0" applyFont="1" applyFill="1"/>
    <xf numFmtId="0" fontId="2" fillId="10" borderId="0" xfId="0" applyFont="1" applyFill="1"/>
    <xf numFmtId="0" fontId="16" fillId="12" borderId="0" xfId="0" applyFont="1" applyFill="1"/>
    <xf numFmtId="0" fontId="16" fillId="13" borderId="0" xfId="0" applyFont="1" applyFill="1"/>
    <xf numFmtId="167" fontId="0" fillId="15" borderId="0" xfId="0" applyNumberFormat="1" applyFill="1"/>
    <xf numFmtId="0" fontId="17" fillId="16" borderId="0" xfId="0" applyFont="1" applyFill="1"/>
    <xf numFmtId="0" fontId="0" fillId="18" borderId="0" xfId="0" applyFill="1"/>
    <xf numFmtId="0" fontId="17" fillId="18" borderId="0" xfId="0" applyFont="1" applyFill="1" applyAlignment="1">
      <alignment wrapText="1"/>
    </xf>
    <xf numFmtId="0" fontId="0" fillId="19" borderId="0" xfId="0" applyFill="1"/>
    <xf numFmtId="0" fontId="17" fillId="20" borderId="0" xfId="0" applyFont="1" applyFill="1" applyAlignment="1">
      <alignment wrapText="1"/>
    </xf>
    <xf numFmtId="0" fontId="0" fillId="20" borderId="0" xfId="0" applyFill="1"/>
    <xf numFmtId="0" fontId="0" fillId="20" borderId="0" xfId="0" applyFill="1" applyAlignment="1">
      <alignment wrapText="1"/>
    </xf>
    <xf numFmtId="167" fontId="18" fillId="20" borderId="0" xfId="0" applyNumberFormat="1" applyFont="1" applyFill="1"/>
    <xf numFmtId="0" fontId="18" fillId="20" borderId="0" xfId="0" applyFont="1" applyFill="1"/>
    <xf numFmtId="0" fontId="0" fillId="21" borderId="0" xfId="0" applyFill="1"/>
    <xf numFmtId="0" fontId="17" fillId="21" borderId="0" xfId="0" applyFont="1" applyFill="1" applyAlignment="1">
      <alignment wrapText="1"/>
    </xf>
    <xf numFmtId="0" fontId="0" fillId="21" borderId="0" xfId="0" applyFill="1" applyAlignment="1">
      <alignment wrapText="1"/>
    </xf>
    <xf numFmtId="0" fontId="18" fillId="21" borderId="0" xfId="0" applyFont="1" applyFill="1"/>
    <xf numFmtId="0" fontId="0" fillId="22" borderId="0" xfId="0" applyFill="1"/>
    <xf numFmtId="0" fontId="17" fillId="22" borderId="0" xfId="0" applyFont="1" applyFill="1" applyAlignment="1">
      <alignment wrapText="1"/>
    </xf>
    <xf numFmtId="167" fontId="0" fillId="22" borderId="0" xfId="0" applyNumberFormat="1" applyFill="1"/>
    <xf numFmtId="0" fontId="0" fillId="22" borderId="0" xfId="0" applyFill="1" applyAlignment="1">
      <alignment wrapText="1"/>
    </xf>
    <xf numFmtId="0" fontId="18" fillId="22" borderId="0" xfId="0" applyFont="1" applyFill="1"/>
    <xf numFmtId="0" fontId="0" fillId="23" borderId="0" xfId="0" applyFill="1"/>
    <xf numFmtId="0" fontId="17" fillId="23" borderId="0" xfId="0" applyFont="1" applyFill="1" applyAlignment="1">
      <alignment wrapText="1"/>
    </xf>
    <xf numFmtId="0" fontId="0" fillId="23" borderId="0" xfId="0" applyFill="1" applyAlignment="1">
      <alignment wrapText="1"/>
    </xf>
    <xf numFmtId="0" fontId="18" fillId="23" borderId="0" xfId="0" applyFont="1" applyFill="1"/>
    <xf numFmtId="0" fontId="0" fillId="24" borderId="0" xfId="0" applyFill="1"/>
    <xf numFmtId="0" fontId="17" fillId="24" borderId="0" xfId="0" applyFont="1" applyFill="1" applyAlignment="1">
      <alignment wrapText="1"/>
    </xf>
    <xf numFmtId="0" fontId="0" fillId="24" borderId="0" xfId="0" applyFill="1" applyAlignment="1">
      <alignment wrapText="1"/>
    </xf>
    <xf numFmtId="0" fontId="19" fillId="24" borderId="0" xfId="0" applyFont="1" applyFill="1"/>
    <xf numFmtId="0" fontId="18" fillId="24" borderId="0" xfId="0" applyFont="1" applyFill="1"/>
    <xf numFmtId="14" fontId="0" fillId="25" borderId="0" xfId="0" applyNumberFormat="1" applyFill="1"/>
    <xf numFmtId="0" fontId="0" fillId="16" borderId="0" xfId="0" applyFill="1"/>
    <xf numFmtId="14" fontId="0" fillId="25" borderId="0" xfId="0" applyNumberFormat="1" applyFill="1" applyAlignment="1">
      <alignment wrapText="1"/>
    </xf>
    <xf numFmtId="0" fontId="17" fillId="16" borderId="0" xfId="0" applyFont="1" applyFill="1" applyAlignment="1">
      <alignment wrapText="1"/>
    </xf>
    <xf numFmtId="14" fontId="17" fillId="25" borderId="0" xfId="0" applyNumberFormat="1" applyFont="1" applyFill="1" applyAlignment="1">
      <alignment wrapText="1"/>
    </xf>
    <xf numFmtId="0" fontId="18" fillId="16" borderId="0" xfId="0" applyFont="1" applyFill="1"/>
    <xf numFmtId="0" fontId="0" fillId="17" borderId="0" xfId="0" applyFill="1"/>
    <xf numFmtId="167" fontId="18" fillId="17" borderId="0" xfId="0" applyNumberFormat="1" applyFont="1" applyFill="1"/>
    <xf numFmtId="0" fontId="19" fillId="17" borderId="0" xfId="0" applyFont="1" applyFill="1"/>
    <xf numFmtId="0" fontId="18" fillId="17" borderId="0" xfId="0" applyFont="1" applyFill="1"/>
    <xf numFmtId="0" fontId="0" fillId="17" borderId="0" xfId="0" applyFill="1" applyAlignment="1">
      <alignment wrapText="1"/>
    </xf>
    <xf numFmtId="0" fontId="17" fillId="17" borderId="0" xfId="0" applyFont="1" applyFill="1" applyAlignment="1">
      <alignment wrapText="1"/>
    </xf>
    <xf numFmtId="0" fontId="0" fillId="16" borderId="0" xfId="0" applyFill="1" applyAlignment="1">
      <alignment wrapText="1"/>
    </xf>
    <xf numFmtId="0" fontId="0" fillId="26" borderId="0" xfId="0" applyFill="1"/>
    <xf numFmtId="0" fontId="17" fillId="26" borderId="0" xfId="0" applyFont="1" applyFill="1"/>
    <xf numFmtId="0" fontId="0" fillId="27" borderId="0" xfId="0" applyFill="1"/>
    <xf numFmtId="0" fontId="17" fillId="27" borderId="0" xfId="0" applyFont="1" applyFill="1"/>
    <xf numFmtId="0" fontId="0" fillId="28" borderId="0" xfId="0" applyFill="1"/>
    <xf numFmtId="0" fontId="21" fillId="29"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17" fillId="0" borderId="0" xfId="0" applyFont="1" applyAlignment="1">
      <alignment horizontal="center" vertical="center" wrapText="1"/>
    </xf>
    <xf numFmtId="0" fontId="1" fillId="0" borderId="0" xfId="0" applyFont="1" applyAlignment="1">
      <alignment horizontal="center" vertical="center"/>
    </xf>
    <xf numFmtId="0" fontId="0" fillId="30" borderId="0" xfId="0" applyFill="1" applyAlignment="1">
      <alignment horizontal="center" vertical="center"/>
    </xf>
    <xf numFmtId="14" fontId="0" fillId="0" borderId="0" xfId="0" applyNumberFormat="1" applyAlignment="1">
      <alignment horizontal="center" vertical="center"/>
    </xf>
    <xf numFmtId="0" fontId="0" fillId="25" borderId="0" xfId="0" applyFill="1" applyAlignment="1">
      <alignment horizontal="center" vertical="center"/>
    </xf>
    <xf numFmtId="0" fontId="0" fillId="16" borderId="0" xfId="0" applyFill="1" applyAlignment="1">
      <alignment horizontal="center" vertical="center"/>
    </xf>
    <xf numFmtId="14" fontId="0" fillId="0" borderId="0" xfId="0" applyNumberFormat="1" applyAlignment="1">
      <alignment horizontal="center"/>
    </xf>
    <xf numFmtId="0" fontId="16" fillId="25" borderId="0" xfId="0" applyFont="1" applyFill="1" applyAlignment="1">
      <alignment horizontal="center" vertical="center"/>
    </xf>
    <xf numFmtId="0" fontId="16" fillId="16" borderId="0" xfId="0" applyFont="1" applyFill="1" applyAlignment="1">
      <alignment horizontal="center" vertical="center"/>
    </xf>
    <xf numFmtId="0" fontId="0" fillId="25" borderId="0" xfId="0" applyFill="1" applyAlignment="1">
      <alignment horizontal="center"/>
    </xf>
    <xf numFmtId="0" fontId="0" fillId="16" borderId="0" xfId="0" applyFill="1" applyAlignment="1">
      <alignment horizontal="center"/>
    </xf>
    <xf numFmtId="0" fontId="21" fillId="25" borderId="0" xfId="0" applyFont="1" applyFill="1" applyAlignment="1">
      <alignment horizontal="center" vertical="center"/>
    </xf>
    <xf numFmtId="0" fontId="17" fillId="17" borderId="0" xfId="0" applyFont="1" applyFill="1"/>
    <xf numFmtId="0" fontId="0" fillId="14" borderId="0" xfId="0" applyFill="1" applyAlignment="1">
      <alignment wrapText="1"/>
    </xf>
    <xf numFmtId="0" fontId="18" fillId="23" borderId="0" xfId="0" applyFont="1" applyFill="1" applyAlignment="1">
      <alignment wrapText="1"/>
    </xf>
    <xf numFmtId="0" fontId="5" fillId="16" borderId="0" xfId="0" applyFont="1" applyFill="1" applyAlignment="1">
      <alignment horizontal="center" vertical="center" wrapText="1"/>
    </xf>
    <xf numFmtId="0" fontId="0" fillId="0" borderId="0" xfId="0" applyAlignment="1">
      <alignment horizontal="left" vertical="center"/>
    </xf>
    <xf numFmtId="0" fontId="2" fillId="0" borderId="0" xfId="0" applyFont="1" applyAlignment="1">
      <alignment horizontal="center"/>
    </xf>
    <xf numFmtId="0" fontId="2" fillId="0" borderId="0" xfId="0" applyFont="1" applyAlignment="1">
      <alignment horizontal="left" vertical="center"/>
    </xf>
    <xf numFmtId="0" fontId="2" fillId="0" borderId="0" xfId="0" applyFont="1"/>
    <xf numFmtId="0" fontId="2" fillId="0" borderId="0" xfId="0" applyFont="1" applyAlignment="1">
      <alignment horizontal="center" vertical="center"/>
    </xf>
    <xf numFmtId="0" fontId="23" fillId="0" borderId="0" xfId="0" applyFont="1"/>
    <xf numFmtId="0" fontId="2" fillId="31" borderId="0" xfId="0" applyFont="1" applyFill="1" applyAlignment="1">
      <alignment horizontal="center" vertical="center" wrapText="1"/>
    </xf>
    <xf numFmtId="0" fontId="23" fillId="31" borderId="0" xfId="0" applyFont="1" applyFill="1"/>
    <xf numFmtId="0" fontId="2" fillId="19" borderId="0" xfId="0" applyFont="1" applyFill="1" applyAlignment="1">
      <alignment horizontal="center"/>
    </xf>
    <xf numFmtId="14" fontId="2" fillId="19" borderId="0" xfId="0" applyNumberFormat="1" applyFont="1" applyFill="1" applyAlignment="1">
      <alignment horizontal="center"/>
    </xf>
    <xf numFmtId="0" fontId="2" fillId="19" borderId="0" xfId="0" applyFont="1" applyFill="1"/>
    <xf numFmtId="0" fontId="2" fillId="19" borderId="0" xfId="0" applyFont="1" applyFill="1" applyAlignment="1">
      <alignment horizontal="left" vertical="center"/>
    </xf>
    <xf numFmtId="0" fontId="2" fillId="19" borderId="0" xfId="0" applyFont="1" applyFill="1" applyAlignment="1">
      <alignment horizontal="center" vertical="center"/>
    </xf>
    <xf numFmtId="0" fontId="23" fillId="19" borderId="0" xfId="0" applyFont="1" applyFill="1"/>
    <xf numFmtId="0" fontId="24" fillId="0" borderId="0" xfId="0" applyFont="1" applyAlignment="1">
      <alignment horizontal="center" vertical="center"/>
    </xf>
    <xf numFmtId="0" fontId="24" fillId="0" borderId="0" xfId="0" applyFont="1" applyAlignment="1">
      <alignment horizontal="center" vertical="center" wrapText="1"/>
    </xf>
    <xf numFmtId="0" fontId="3" fillId="16" borderId="0" xfId="1" applyFill="1" applyAlignment="1">
      <alignment wrapText="1"/>
    </xf>
    <xf numFmtId="0" fontId="24" fillId="31" borderId="0" xfId="0" applyFont="1" applyFill="1" applyAlignment="1">
      <alignment horizontal="center" vertical="center" wrapText="1"/>
    </xf>
    <xf numFmtId="14" fontId="24" fillId="31" borderId="0" xfId="0" applyNumberFormat="1" applyFont="1" applyFill="1" applyAlignment="1">
      <alignment horizontal="center" vertical="center" wrapText="1"/>
    </xf>
    <xf numFmtId="0" fontId="24" fillId="31" borderId="0" xfId="0" applyFont="1" applyFill="1" applyAlignment="1">
      <alignment vertical="center" wrapText="1"/>
    </xf>
    <xf numFmtId="0" fontId="28" fillId="31" borderId="0" xfId="0" applyFont="1" applyFill="1" applyAlignment="1">
      <alignment horizontal="center" vertical="center" wrapText="1"/>
    </xf>
    <xf numFmtId="0" fontId="24" fillId="19" borderId="0" xfId="0" applyFont="1" applyFill="1" applyAlignment="1">
      <alignment horizontal="center"/>
    </xf>
    <xf numFmtId="0" fontId="29" fillId="0" borderId="0" xfId="0" applyFont="1" applyAlignment="1">
      <alignment vertical="center"/>
    </xf>
    <xf numFmtId="0" fontId="29" fillId="0" borderId="0" xfId="0" applyFont="1" applyAlignment="1">
      <alignment horizontal="left" vertical="center"/>
    </xf>
    <xf numFmtId="0" fontId="30" fillId="0" borderId="0" xfId="0" applyFont="1" applyAlignment="1">
      <alignment horizontal="left" vertical="center" wrapText="1"/>
    </xf>
    <xf numFmtId="0" fontId="29" fillId="0" borderId="0" xfId="0" applyFont="1" applyAlignment="1">
      <alignment vertical="center" wrapText="1"/>
    </xf>
    <xf numFmtId="0" fontId="30" fillId="0" borderId="0" xfId="0" applyFont="1" applyAlignment="1">
      <alignment horizontal="left"/>
    </xf>
    <xf numFmtId="0" fontId="30" fillId="0" borderId="0" xfId="0" applyFont="1" applyAlignment="1">
      <alignment horizontal="left" wrapText="1"/>
    </xf>
    <xf numFmtId="0" fontId="31" fillId="0" borderId="0" xfId="0" applyFont="1" applyAlignment="1">
      <alignment horizontal="left" vertical="center" wrapText="1"/>
    </xf>
    <xf numFmtId="164" fontId="30" fillId="0" borderId="0" xfId="0" applyNumberFormat="1" applyFont="1" applyAlignment="1">
      <alignment horizontal="left" vertical="center" wrapText="1"/>
    </xf>
    <xf numFmtId="0" fontId="30" fillId="0" borderId="0" xfId="0" applyFont="1" applyAlignment="1">
      <alignment horizontal="left" vertical="center"/>
    </xf>
    <xf numFmtId="0" fontId="30" fillId="32" borderId="0" xfId="0" applyFont="1" applyFill="1" applyAlignment="1">
      <alignment horizontal="left" vertical="center" wrapText="1"/>
    </xf>
    <xf numFmtId="165" fontId="30" fillId="0" borderId="0" xfId="0" applyNumberFormat="1" applyFont="1" applyAlignment="1">
      <alignment horizontal="left" vertical="center" wrapText="1"/>
    </xf>
    <xf numFmtId="0" fontId="30" fillId="0" borderId="0" xfId="0" applyFont="1" applyAlignment="1">
      <alignment vertical="center"/>
    </xf>
    <xf numFmtId="0" fontId="30" fillId="34" borderId="0" xfId="0" applyFont="1" applyFill="1" applyAlignment="1">
      <alignment horizontal="left" vertical="center" wrapText="1"/>
    </xf>
    <xf numFmtId="0" fontId="32" fillId="0" borderId="0" xfId="0" applyFont="1" applyAlignment="1">
      <alignment horizontal="left" vertical="center"/>
    </xf>
    <xf numFmtId="0" fontId="32" fillId="0" borderId="0" xfId="0" applyFont="1" applyAlignment="1">
      <alignment vertical="center"/>
    </xf>
    <xf numFmtId="166" fontId="30" fillId="0" borderId="0" xfId="0" applyNumberFormat="1" applyFont="1" applyAlignment="1">
      <alignment horizontal="left" vertical="center"/>
    </xf>
    <xf numFmtId="165" fontId="30" fillId="0" borderId="0" xfId="0" applyNumberFormat="1" applyFont="1" applyAlignment="1">
      <alignment horizontal="left" vertical="center"/>
    </xf>
    <xf numFmtId="166" fontId="30" fillId="0" borderId="0" xfId="0" applyNumberFormat="1" applyFont="1" applyAlignment="1">
      <alignment horizontal="left" vertical="center" wrapText="1"/>
    </xf>
    <xf numFmtId="0" fontId="30" fillId="35" borderId="0" xfId="0" applyFont="1" applyFill="1" applyAlignment="1">
      <alignment horizontal="left" vertical="center" wrapText="1"/>
    </xf>
    <xf numFmtId="0" fontId="33" fillId="0" borderId="0" xfId="0" applyFont="1" applyAlignment="1">
      <alignment vertical="center"/>
    </xf>
    <xf numFmtId="0" fontId="34" fillId="0" borderId="0" xfId="0" applyFont="1" applyAlignment="1">
      <alignment vertical="center"/>
    </xf>
    <xf numFmtId="0" fontId="32" fillId="0" borderId="0" xfId="0" applyFont="1" applyAlignment="1">
      <alignment horizontal="left" vertical="center" wrapText="1"/>
    </xf>
    <xf numFmtId="0" fontId="15" fillId="0" borderId="0" xfId="0" applyFont="1" applyAlignment="1">
      <alignment horizontal="left"/>
    </xf>
    <xf numFmtId="20" fontId="0" fillId="0" borderId="0" xfId="0" applyNumberFormat="1" applyAlignment="1">
      <alignment horizontal="center" vertical="center"/>
    </xf>
    <xf numFmtId="0" fontId="6" fillId="0" borderId="0" xfId="0" applyFont="1" applyAlignment="1">
      <alignment horizontal="left"/>
    </xf>
    <xf numFmtId="0" fontId="35" fillId="33" borderId="0" xfId="0" applyFont="1" applyFill="1" applyAlignment="1">
      <alignment horizontal="left"/>
    </xf>
    <xf numFmtId="0" fontId="10" fillId="0" borderId="0" xfId="0" applyFont="1" applyAlignment="1">
      <alignment horizontal="left"/>
    </xf>
    <xf numFmtId="0" fontId="6" fillId="0" borderId="0" xfId="0" applyFont="1" applyAlignment="1">
      <alignment vertical="center"/>
    </xf>
    <xf numFmtId="0" fontId="11" fillId="0" borderId="0" xfId="0" applyFont="1" applyAlignment="1">
      <alignment horizontal="left"/>
    </xf>
    <xf numFmtId="0" fontId="9" fillId="0" borderId="0" xfId="0" applyFont="1" applyAlignment="1">
      <alignment horizontal="left"/>
    </xf>
    <xf numFmtId="0" fontId="15" fillId="0" borderId="0" xfId="0" applyFont="1" applyAlignment="1">
      <alignment horizontal="left" wrapText="1"/>
    </xf>
    <xf numFmtId="0" fontId="8" fillId="0" borderId="0" xfId="0" applyFont="1" applyAlignment="1">
      <alignment horizontal="left"/>
    </xf>
    <xf numFmtId="0" fontId="8" fillId="0" borderId="0" xfId="0" applyFont="1" applyAlignment="1">
      <alignment vertical="center"/>
    </xf>
    <xf numFmtId="0" fontId="4" fillId="0" borderId="0" xfId="0" applyFont="1" applyAlignment="1">
      <alignment horizontal="left"/>
    </xf>
    <xf numFmtId="0" fontId="36" fillId="0" borderId="0" xfId="0" applyFont="1" applyAlignment="1">
      <alignment horizontal="justify" vertical="center"/>
    </xf>
    <xf numFmtId="0" fontId="37" fillId="0" borderId="0" xfId="0" applyFont="1" applyAlignment="1">
      <alignment vertical="center"/>
    </xf>
    <xf numFmtId="0" fontId="36" fillId="0" borderId="0" xfId="0" applyFont="1" applyAlignment="1">
      <alignment horizontal="center" vertical="center"/>
    </xf>
    <xf numFmtId="0" fontId="38" fillId="0" borderId="0" xfId="0" applyFont="1"/>
    <xf numFmtId="0" fontId="0" fillId="0" borderId="0" xfId="0" applyAlignment="1">
      <alignment horizontal="left" vertical="center" wrapText="1"/>
    </xf>
    <xf numFmtId="0" fontId="2" fillId="36" borderId="0" xfId="0" applyFont="1" applyFill="1" applyAlignment="1">
      <alignment horizontal="center" vertical="center" wrapText="1"/>
    </xf>
    <xf numFmtId="0" fontId="24" fillId="36" borderId="0" xfId="0" applyFont="1" applyFill="1" applyAlignment="1">
      <alignment horizontal="center" vertical="center" wrapText="1"/>
    </xf>
    <xf numFmtId="0" fontId="28" fillId="36" borderId="0" xfId="0" applyFont="1" applyFill="1" applyAlignment="1">
      <alignment horizontal="center" vertical="center" wrapText="1"/>
    </xf>
    <xf numFmtId="0" fontId="24" fillId="36" borderId="0" xfId="0" applyFont="1" applyFill="1" applyAlignment="1">
      <alignment vertical="center" wrapText="1"/>
    </xf>
    <xf numFmtId="0" fontId="23" fillId="36" borderId="0" xfId="0" applyFont="1" applyFill="1"/>
    <xf numFmtId="14" fontId="2" fillId="36" borderId="0" xfId="0" applyNumberFormat="1" applyFont="1" applyFill="1" applyAlignment="1">
      <alignment horizontal="center" vertical="center" wrapText="1"/>
    </xf>
    <xf numFmtId="0" fontId="33" fillId="0" borderId="0" xfId="0" applyFont="1" applyAlignment="1">
      <alignment horizontal="left" vertical="center" wrapText="1"/>
    </xf>
    <xf numFmtId="164" fontId="30" fillId="0" borderId="0" xfId="0" applyNumberFormat="1" applyFont="1" applyAlignment="1">
      <alignment horizontal="left" vertical="center"/>
    </xf>
    <xf numFmtId="165" fontId="30" fillId="34" borderId="0" xfId="0" applyNumberFormat="1" applyFont="1" applyFill="1" applyAlignment="1">
      <alignment horizontal="left" vertical="center" wrapText="1"/>
    </xf>
    <xf numFmtId="165" fontId="30" fillId="34" borderId="0" xfId="0" applyNumberFormat="1" applyFont="1" applyFill="1" applyAlignment="1">
      <alignment horizontal="left" vertical="center"/>
    </xf>
    <xf numFmtId="0" fontId="7" fillId="0" borderId="0" xfId="0" applyFont="1" applyAlignment="1">
      <alignment vertical="center"/>
    </xf>
    <xf numFmtId="0" fontId="34" fillId="0" borderId="0" xfId="0" applyFont="1" applyAlignment="1">
      <alignment horizontal="left" vertical="center"/>
    </xf>
    <xf numFmtId="164" fontId="30" fillId="0" borderId="0" xfId="0" applyNumberFormat="1" applyFont="1" applyAlignment="1">
      <alignment vertical="center"/>
    </xf>
    <xf numFmtId="0" fontId="9" fillId="0" borderId="0" xfId="0" applyFont="1" applyAlignment="1">
      <alignment vertical="center" wrapText="1"/>
    </xf>
    <xf numFmtId="0" fontId="8" fillId="0" borderId="0" xfId="0" applyFont="1" applyAlignment="1">
      <alignment vertical="center" wrapText="1"/>
    </xf>
    <xf numFmtId="0" fontId="39" fillId="0" borderId="0" xfId="0" applyFont="1" applyAlignment="1">
      <alignment horizontal="left"/>
    </xf>
    <xf numFmtId="0" fontId="15" fillId="0" borderId="0" xfId="0" applyFont="1" applyAlignment="1">
      <alignment vertical="center" wrapText="1"/>
    </xf>
    <xf numFmtId="0" fontId="40" fillId="0" borderId="0" xfId="0" applyFont="1" applyAlignment="1">
      <alignment vertical="center"/>
    </xf>
    <xf numFmtId="0" fontId="16" fillId="0" borderId="1" xfId="0" applyFont="1" applyBorder="1" applyAlignment="1">
      <alignment horizontal="left"/>
    </xf>
    <xf numFmtId="0" fontId="16" fillId="0" borderId="2" xfId="0" applyFont="1" applyBorder="1" applyAlignment="1">
      <alignment horizontal="left"/>
    </xf>
    <xf numFmtId="0" fontId="16" fillId="0" borderId="0" xfId="0" applyFont="1" applyAlignment="1">
      <alignment horizontal="left"/>
    </xf>
    <xf numFmtId="0" fontId="2" fillId="0" borderId="0" xfId="0" applyFont="1" applyAlignment="1">
      <alignment horizontal="center" vertical="center" wrapText="1"/>
    </xf>
    <xf numFmtId="14" fontId="2" fillId="0" borderId="0" xfId="0" applyNumberFormat="1" applyFont="1" applyAlignment="1">
      <alignment horizontal="center" vertical="center" wrapText="1"/>
    </xf>
    <xf numFmtId="0" fontId="28" fillId="0" borderId="0" xfId="0" applyFont="1" applyAlignment="1">
      <alignment horizontal="center" vertical="center" wrapText="1"/>
    </xf>
    <xf numFmtId="0" fontId="24" fillId="0" borderId="0" xfId="0" applyFont="1" applyAlignment="1">
      <alignment vertical="center" wrapText="1"/>
    </xf>
    <xf numFmtId="0" fontId="24" fillId="0" borderId="0" xfId="0" applyFont="1"/>
    <xf numFmtId="0" fontId="4" fillId="0" borderId="0" xfId="0" applyFont="1" applyAlignment="1">
      <alignment horizontal="left" vertical="center" wrapText="1"/>
    </xf>
    <xf numFmtId="0" fontId="11" fillId="0" borderId="0" xfId="0" applyFont="1" applyAlignment="1">
      <alignment horizontal="left" wrapText="1"/>
    </xf>
    <xf numFmtId="0" fontId="16" fillId="0" borderId="0" xfId="0" applyFont="1" applyAlignment="1">
      <alignment wrapText="1"/>
    </xf>
    <xf numFmtId="0" fontId="41" fillId="0" borderId="0" xfId="0" applyFont="1" applyAlignment="1">
      <alignment horizontal="center" vertical="center" wrapText="1"/>
    </xf>
    <xf numFmtId="0" fontId="42" fillId="0" borderId="0" xfId="0" applyFont="1" applyAlignment="1">
      <alignment horizontal="center" vertical="center" wrapText="1"/>
    </xf>
    <xf numFmtId="0" fontId="41" fillId="0" borderId="3" xfId="0" applyFont="1" applyBorder="1" applyAlignment="1">
      <alignment horizontal="center" vertical="center" wrapText="1"/>
    </xf>
    <xf numFmtId="0" fontId="42" fillId="0" borderId="4" xfId="0" applyFont="1" applyBorder="1" applyAlignment="1">
      <alignment horizontal="center" vertical="center" wrapText="1"/>
    </xf>
    <xf numFmtId="0" fontId="21" fillId="0" borderId="0" xfId="0" applyFont="1"/>
    <xf numFmtId="0" fontId="21" fillId="37" borderId="0" xfId="0" applyFont="1" applyFill="1" applyAlignment="1">
      <alignment horizontal="center" vertical="center" wrapText="1"/>
    </xf>
    <xf numFmtId="0" fontId="0" fillId="0" borderId="0" xfId="0" applyAlignment="1">
      <alignment horizontal="left" vertical="top" wrapText="1"/>
    </xf>
    <xf numFmtId="0" fontId="0" fillId="0" borderId="0" xfId="0" applyAlignment="1">
      <alignment horizontal="center" wrapText="1"/>
    </xf>
    <xf numFmtId="0" fontId="22" fillId="0" borderId="0" xfId="0" applyFont="1" applyAlignment="1">
      <alignment horizontal="center" vertical="center"/>
    </xf>
  </cellXfs>
  <cellStyles count="2">
    <cellStyle name="Hyperlink" xfId="1" xr:uid="{00000000-0005-0000-0000-000001000000}"/>
    <cellStyle name="Normal" xfId="0" builtinId="0"/>
  </cellStyles>
  <dxfs count="6">
    <dxf>
      <font>
        <b val="0"/>
        <i val="0"/>
        <strike val="0"/>
        <condense val="0"/>
        <extend val="0"/>
        <outline val="0"/>
        <shadow val="0"/>
        <u val="none"/>
        <vertAlign val="baseline"/>
        <sz val="10"/>
        <color rgb="FF000000"/>
        <name val="Microsoft YaHei UI"/>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s>
  <tableStyles count="0" defaultTableStyle="TableStyleMedium2" defaultPivotStyle="PivotStyleLight16"/>
  <colors>
    <mruColors>
      <color rgb="FF001F60"/>
      <color rgb="FFFCE2D6"/>
      <color rgb="FFF1A983"/>
      <color rgb="FFDEC4B8"/>
      <color rgb="FFCA81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127000</xdr:colOff>
          <xdr:row>7</xdr:row>
          <xdr:rowOff>50800</xdr:rowOff>
        </xdr:from>
        <xdr:to>
          <xdr:col>9</xdr:col>
          <xdr:colOff>304800</xdr:colOff>
          <xdr:row>10</xdr:row>
          <xdr:rowOff>127000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Calibri" pitchFamily="2" charset="0"/>
                  <a:cs typeface="Calibri" pitchFamily="2" charset="0"/>
                </a:rPr>
                <a:t>加到</a:t>
              </a:r>
              <a:r>
                <a:rPr lang="en-US" sz="2000" b="0" i="0" u="none" strike="noStrike" baseline="0">
                  <a:solidFill>
                    <a:srgbClr val="000000"/>
                  </a:solidFill>
                  <a:latin typeface="Aptos Narrow" charset="0"/>
                  <a:cs typeface="Calibri" pitchFamily="2" charset="0"/>
                </a:rPr>
                <a:t>Tracker</a:t>
              </a:r>
              <a:endParaRPr lang="en-US" sz="2000" b="0" i="0" u="none" strike="noStrike" baseline="0">
                <a:solidFill>
                  <a:srgbClr val="00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7</xdr:row>
          <xdr:rowOff>63500</xdr:rowOff>
        </xdr:from>
        <xdr:to>
          <xdr:col>6</xdr:col>
          <xdr:colOff>1206500</xdr:colOff>
          <xdr:row>10</xdr:row>
          <xdr:rowOff>127000</xdr:rowOff>
        </xdr:to>
        <xdr:sp macro="" textlink="">
          <xdr:nvSpPr>
            <xdr:cNvPr id="2050" name="Button 2" descr="Paste Value and Sav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Aptos Narrow" charset="0"/>
                </a:rPr>
                <a:t>Paste Value </a:t>
              </a:r>
            </a:p>
            <a:p>
              <a:pPr algn="ctr" rtl="0">
                <a:defRPr sz="1000"/>
              </a:pPr>
              <a:r>
                <a:rPr lang="en-US" sz="1800" b="0" i="0" u="none" strike="noStrike" baseline="0">
                  <a:solidFill>
                    <a:srgbClr val="000000"/>
                  </a:solidFill>
                  <a:latin typeface="Aptos Narrow" charset="0"/>
                </a:rPr>
                <a:t>and Save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1E8F10-5BBA-534B-B5E7-82A9A5AA6C96}" name="CompanyName1" displayName="CompanyName1" ref="C2:D996" totalsRowShown="0" headerRowDxfId="0">
  <autoFilter ref="C2:D996" xr:uid="{A91E8F10-5BBA-534B-B5E7-82A9A5AA6C96}"/>
  <tableColumns count="2">
    <tableColumn id="1" xr3:uid="{EE31752F-5AB1-2E41-808F-EF2E7957CFE7}" name="机构名称（中文）"/>
    <tableColumn id="2" xr3:uid="{6A3BAED9-0E69-7A4C-9422-E452E6E969F9}" name="机构名称（英文）"/>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Z2"/>
  <sheetViews>
    <sheetView zoomScale="139" workbookViewId="0">
      <selection sqref="A1:XFD2"/>
    </sheetView>
  </sheetViews>
  <sheetFormatPr baseColWidth="10" defaultRowHeight="16"/>
  <cols>
    <col min="1" max="1" width="15" customWidth="1"/>
    <col min="2" max="2" width="17.33203125" customWidth="1"/>
    <col min="3" max="4" width="23.5" customWidth="1"/>
    <col min="5" max="5" width="15" customWidth="1"/>
    <col min="30" max="30" width="12.1640625" customWidth="1"/>
    <col min="61" max="61" width="13.5" customWidth="1"/>
    <col min="71" max="71" width="13.5" customWidth="1"/>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1129</v>
      </c>
      <c r="HV1" s="68" t="s">
        <v>1134</v>
      </c>
      <c r="HW1" s="68" t="s">
        <v>1135</v>
      </c>
      <c r="HX1" s="68" t="s">
        <v>1136</v>
      </c>
      <c r="HY1" s="68" t="s">
        <v>1137</v>
      </c>
      <c r="HZ1" s="68" t="s">
        <v>1138</v>
      </c>
      <c r="IA1" s="68" t="s">
        <v>1130</v>
      </c>
      <c r="IB1" s="68" t="s">
        <v>1139</v>
      </c>
      <c r="IC1" s="68" t="s">
        <v>1140</v>
      </c>
      <c r="ID1" s="68" t="s">
        <v>1141</v>
      </c>
      <c r="IE1" s="68" t="s">
        <v>1142</v>
      </c>
      <c r="IF1" s="68" t="s">
        <v>1143</v>
      </c>
      <c r="IG1" s="68" t="s">
        <v>1131</v>
      </c>
      <c r="IH1" s="68" t="s">
        <v>1144</v>
      </c>
      <c r="II1" s="68" t="s">
        <v>1145</v>
      </c>
      <c r="IJ1" s="68" t="s">
        <v>1146</v>
      </c>
      <c r="IK1" s="68" t="s">
        <v>1147</v>
      </c>
      <c r="IL1" s="68" t="s">
        <v>1148</v>
      </c>
      <c r="IM1" s="68" t="s">
        <v>1132</v>
      </c>
      <c r="IN1" s="68" t="s">
        <v>1149</v>
      </c>
      <c r="IO1" s="68" t="s">
        <v>1150</v>
      </c>
      <c r="IP1" s="68" t="s">
        <v>1151</v>
      </c>
      <c r="IQ1" s="68" t="s">
        <v>1152</v>
      </c>
      <c r="IR1" s="68" t="s">
        <v>1153</v>
      </c>
      <c r="IW1" s="84"/>
    </row>
    <row r="2" spans="1:312" ht="49" customHeight="1">
      <c r="A2" s="24" t="s">
        <v>1721</v>
      </c>
      <c r="B2" s="24" t="s">
        <v>1867</v>
      </c>
      <c r="C2" s="25">
        <v>46160</v>
      </c>
      <c r="D2" s="25">
        <v>46163</v>
      </c>
      <c r="E2" s="39">
        <v>46160</v>
      </c>
      <c r="F2" s="26" t="s">
        <v>1868</v>
      </c>
      <c r="G2" s="27" t="s">
        <v>1681</v>
      </c>
      <c r="H2" s="28" t="s">
        <v>262</v>
      </c>
      <c r="I2" s="102" t="s">
        <v>1881</v>
      </c>
      <c r="J2" s="30" t="s">
        <v>718</v>
      </c>
      <c r="K2" s="31" t="s">
        <v>1099</v>
      </c>
      <c r="L2" s="27" t="s">
        <v>1869</v>
      </c>
      <c r="M2" s="28" t="s">
        <v>262</v>
      </c>
      <c r="N2" s="102" t="s">
        <v>1882</v>
      </c>
      <c r="O2" s="30" t="s">
        <v>1099</v>
      </c>
      <c r="P2" s="31" t="s">
        <v>1099</v>
      </c>
      <c r="Q2" s="27" t="s">
        <v>244</v>
      </c>
      <c r="R2" s="28" t="s">
        <v>262</v>
      </c>
      <c r="S2" s="42" t="s">
        <v>1900</v>
      </c>
      <c r="T2" s="44" t="s">
        <v>1099</v>
      </c>
      <c r="U2" s="43" t="s">
        <v>1099</v>
      </c>
      <c r="V2" s="49" t="s">
        <v>246</v>
      </c>
      <c r="W2" s="53" t="s">
        <v>262</v>
      </c>
      <c r="X2" s="60" t="s">
        <v>1883</v>
      </c>
      <c r="Y2" s="46" t="s">
        <v>1752</v>
      </c>
      <c r="Z2" s="63" t="s">
        <v>1099</v>
      </c>
      <c r="AA2" s="50" t="s">
        <v>248</v>
      </c>
      <c r="AB2" s="53" t="s">
        <v>262</v>
      </c>
      <c r="AC2" s="60" t="s">
        <v>1884</v>
      </c>
      <c r="AD2" s="45" t="s">
        <v>675</v>
      </c>
      <c r="AE2" s="62" t="s">
        <v>676</v>
      </c>
      <c r="AF2" s="51">
        <v>0</v>
      </c>
      <c r="AG2" s="54" t="s">
        <v>1741</v>
      </c>
      <c r="AH2" s="59" t="s">
        <v>1332</v>
      </c>
      <c r="AI2" s="45" t="s">
        <v>1099</v>
      </c>
      <c r="AJ2" s="62" t="s">
        <v>1099</v>
      </c>
      <c r="AK2" s="67">
        <v>46161</v>
      </c>
      <c r="AL2" s="68" t="s">
        <v>1868</v>
      </c>
      <c r="AM2" s="51" t="s">
        <v>1681</v>
      </c>
      <c r="AN2" s="54" t="s">
        <v>262</v>
      </c>
      <c r="AO2" s="59" t="s">
        <v>1885</v>
      </c>
      <c r="AP2" s="45" t="s">
        <v>1099</v>
      </c>
      <c r="AQ2" s="62" t="s">
        <v>1099</v>
      </c>
      <c r="AR2" s="49" t="s">
        <v>1682</v>
      </c>
      <c r="AS2" s="55" t="s">
        <v>262</v>
      </c>
      <c r="AT2" s="59" t="s">
        <v>1886</v>
      </c>
      <c r="AU2" s="45" t="s">
        <v>1761</v>
      </c>
      <c r="AV2" s="64" t="s">
        <v>1099</v>
      </c>
      <c r="AW2" s="50" t="s">
        <v>1899</v>
      </c>
      <c r="AX2" s="54" t="s">
        <v>262</v>
      </c>
      <c r="AY2" s="60" t="s">
        <v>1901</v>
      </c>
      <c r="AZ2" s="45" t="s">
        <v>1799</v>
      </c>
      <c r="BA2" s="62" t="s">
        <v>1099</v>
      </c>
      <c r="BB2" s="27" t="s">
        <v>246</v>
      </c>
      <c r="BC2" s="56" t="s">
        <v>262</v>
      </c>
      <c r="BD2" s="59" t="s">
        <v>1887</v>
      </c>
      <c r="BE2" s="44" t="s">
        <v>879</v>
      </c>
      <c r="BF2" s="62" t="s">
        <v>1099</v>
      </c>
      <c r="BG2" s="49">
        <v>0</v>
      </c>
      <c r="BH2" s="53" t="s">
        <v>1741</v>
      </c>
      <c r="BI2" s="58" t="s">
        <v>1332</v>
      </c>
      <c r="BJ2" s="46" t="s">
        <v>1099</v>
      </c>
      <c r="BK2" s="63" t="s">
        <v>1099</v>
      </c>
      <c r="BL2" s="50">
        <v>0</v>
      </c>
      <c r="BM2" s="53" t="s">
        <v>1741</v>
      </c>
      <c r="BN2" s="58" t="s">
        <v>1332</v>
      </c>
      <c r="BO2" s="45" t="s">
        <v>1099</v>
      </c>
      <c r="BP2" s="62" t="s">
        <v>1099</v>
      </c>
      <c r="BQ2" s="69">
        <v>46162</v>
      </c>
      <c r="BR2" s="70" t="s">
        <v>1876</v>
      </c>
      <c r="BS2" s="50" t="s">
        <v>1681</v>
      </c>
      <c r="BT2" s="53" t="s">
        <v>262</v>
      </c>
      <c r="BU2" s="60" t="s">
        <v>1888</v>
      </c>
      <c r="BV2" s="45" t="s">
        <v>563</v>
      </c>
      <c r="BW2" s="62" t="s">
        <v>1099</v>
      </c>
      <c r="BX2" s="51" t="s">
        <v>1682</v>
      </c>
      <c r="BY2" s="54" t="s">
        <v>262</v>
      </c>
      <c r="BZ2" s="59" t="s">
        <v>1889</v>
      </c>
      <c r="CA2" s="45" t="s">
        <v>1760</v>
      </c>
      <c r="CB2" s="62" t="s">
        <v>1099</v>
      </c>
      <c r="CC2" s="49" t="s">
        <v>1877</v>
      </c>
      <c r="CD2" s="53" t="s">
        <v>262</v>
      </c>
      <c r="CE2" s="60" t="s">
        <v>1890</v>
      </c>
      <c r="CF2" s="44" t="s">
        <v>1806</v>
      </c>
      <c r="CG2" s="63" t="s">
        <v>1099</v>
      </c>
      <c r="CH2" s="49" t="s">
        <v>1878</v>
      </c>
      <c r="CI2" s="53" t="s">
        <v>262</v>
      </c>
      <c r="CJ2" s="60" t="s">
        <v>1891</v>
      </c>
      <c r="CK2" s="47" t="s">
        <v>1788</v>
      </c>
      <c r="CL2" s="65" t="s">
        <v>477</v>
      </c>
      <c r="CM2" s="52" t="s">
        <v>1879</v>
      </c>
      <c r="CN2" s="56" t="s">
        <v>262</v>
      </c>
      <c r="CO2" s="59" t="s">
        <v>1892</v>
      </c>
      <c r="CP2" s="44" t="s">
        <v>813</v>
      </c>
      <c r="CQ2" s="66" t="s">
        <v>1099</v>
      </c>
      <c r="CR2" s="52">
        <v>0</v>
      </c>
      <c r="CS2" s="57" t="s">
        <v>1741</v>
      </c>
      <c r="CT2" s="61" t="s">
        <v>1332</v>
      </c>
      <c r="CU2" s="46" t="s">
        <v>1099</v>
      </c>
      <c r="CV2" s="63" t="s">
        <v>1099</v>
      </c>
      <c r="CW2" s="71">
        <v>46163</v>
      </c>
      <c r="CX2" s="72" t="s">
        <v>1680</v>
      </c>
      <c r="CY2" s="52" t="s">
        <v>1681</v>
      </c>
      <c r="CZ2" s="57" t="s">
        <v>262</v>
      </c>
      <c r="DA2" s="103" t="s">
        <v>1893</v>
      </c>
      <c r="DB2" s="46" t="s">
        <v>1099</v>
      </c>
      <c r="DC2" s="63" t="s">
        <v>1099</v>
      </c>
      <c r="DD2" s="50" t="s">
        <v>1682</v>
      </c>
      <c r="DE2" s="57" t="s">
        <v>262</v>
      </c>
      <c r="DF2" s="103" t="s">
        <v>1894</v>
      </c>
      <c r="DG2" s="48" t="s">
        <v>1750</v>
      </c>
      <c r="DH2" s="66" t="s">
        <v>1099</v>
      </c>
      <c r="DI2" s="51" t="s">
        <v>246</v>
      </c>
      <c r="DJ2" s="29" t="s">
        <v>262</v>
      </c>
      <c r="DK2" s="59" t="s">
        <v>1895</v>
      </c>
      <c r="DL2" s="48" t="s">
        <v>1771</v>
      </c>
      <c r="DM2" s="66" t="s">
        <v>1099</v>
      </c>
      <c r="DN2" s="52" t="s">
        <v>248</v>
      </c>
      <c r="DO2" s="57" t="s">
        <v>262</v>
      </c>
      <c r="DP2" s="60" t="s">
        <v>1896</v>
      </c>
      <c r="DQ2" s="44" t="s">
        <v>1801</v>
      </c>
      <c r="DR2" s="63" t="s">
        <v>1099</v>
      </c>
      <c r="DS2" s="52">
        <v>0</v>
      </c>
      <c r="DT2" s="57" t="s">
        <v>1741</v>
      </c>
      <c r="DU2" s="103" t="s">
        <v>1332</v>
      </c>
      <c r="DV2" s="48" t="s">
        <v>1099</v>
      </c>
      <c r="DW2" s="64" t="s">
        <v>1099</v>
      </c>
      <c r="DX2" s="50">
        <v>0</v>
      </c>
      <c r="DY2" s="54" t="s">
        <v>1741</v>
      </c>
      <c r="DZ2" s="103" t="s">
        <v>1332</v>
      </c>
      <c r="EA2" s="48" t="s">
        <v>1099</v>
      </c>
      <c r="EB2" s="66" t="s">
        <v>1099</v>
      </c>
      <c r="EC2" s="74" t="s">
        <v>264</v>
      </c>
      <c r="ED2" s="75" t="s">
        <v>1099</v>
      </c>
      <c r="EE2" s="76" t="s">
        <v>717</v>
      </c>
      <c r="EF2" s="77" t="s">
        <v>1099</v>
      </c>
      <c r="EG2" s="78" t="s">
        <v>264</v>
      </c>
      <c r="EH2" s="78" t="s">
        <v>1099</v>
      </c>
      <c r="EI2" s="76" t="s">
        <v>1871</v>
      </c>
      <c r="EJ2" s="76" t="s">
        <v>1099</v>
      </c>
      <c r="EK2" s="76" t="s">
        <v>974</v>
      </c>
      <c r="EL2" s="76" t="s">
        <v>1898</v>
      </c>
      <c r="EM2" s="76" t="s">
        <v>1897</v>
      </c>
      <c r="EN2" s="76" t="s">
        <v>1099</v>
      </c>
      <c r="EO2" s="78" t="s">
        <v>266</v>
      </c>
      <c r="EP2" s="78" t="s">
        <v>1099</v>
      </c>
      <c r="EQ2" s="101" t="s">
        <v>1260</v>
      </c>
      <c r="ER2" s="101" t="s">
        <v>1695</v>
      </c>
      <c r="ES2" s="76" t="s">
        <v>264</v>
      </c>
      <c r="ET2" s="76" t="s">
        <v>1099</v>
      </c>
      <c r="EU2" s="76" t="s">
        <v>1542</v>
      </c>
      <c r="EV2" s="76" t="s">
        <v>1099</v>
      </c>
      <c r="EW2" s="76" t="s">
        <v>1099</v>
      </c>
      <c r="EX2" s="76" t="s">
        <v>1099</v>
      </c>
      <c r="EY2" s="76" t="s">
        <v>1099</v>
      </c>
      <c r="EZ2" s="76" t="s">
        <v>1099</v>
      </c>
      <c r="FA2" s="79" t="s">
        <v>266</v>
      </c>
      <c r="FB2" s="79" t="s">
        <v>1099</v>
      </c>
      <c r="FC2" s="68" t="s">
        <v>1874</v>
      </c>
      <c r="FD2" s="68" t="s">
        <v>1099</v>
      </c>
      <c r="FE2" s="72" t="s">
        <v>264</v>
      </c>
      <c r="FF2" s="72" t="s">
        <v>1099</v>
      </c>
      <c r="FG2" s="72" t="s">
        <v>1171</v>
      </c>
      <c r="FH2" s="72" t="s">
        <v>336</v>
      </c>
      <c r="FI2" s="70" t="s">
        <v>1339</v>
      </c>
      <c r="FJ2" s="70" t="s">
        <v>1736</v>
      </c>
      <c r="FK2" s="40" t="s">
        <v>1513</v>
      </c>
      <c r="FL2" s="40" t="s">
        <v>1798</v>
      </c>
      <c r="FM2" s="72" t="s">
        <v>878</v>
      </c>
      <c r="FN2" s="72" t="s">
        <v>880</v>
      </c>
      <c r="FO2" s="72" t="s">
        <v>1270</v>
      </c>
      <c r="FP2" s="72" t="s">
        <v>1099</v>
      </c>
      <c r="FQ2" s="70" t="s">
        <v>1099</v>
      </c>
      <c r="FR2" s="70" t="s">
        <v>1099</v>
      </c>
      <c r="FS2" s="70" t="s">
        <v>1099</v>
      </c>
      <c r="FT2" s="70" t="s">
        <v>1099</v>
      </c>
      <c r="FU2" s="40" t="s">
        <v>1099</v>
      </c>
      <c r="FV2" s="40" t="s">
        <v>1099</v>
      </c>
      <c r="FW2" s="40" t="s">
        <v>1099</v>
      </c>
      <c r="FX2" s="40" t="s">
        <v>1099</v>
      </c>
      <c r="FY2" s="81" t="s">
        <v>1539</v>
      </c>
      <c r="FZ2" s="81" t="s">
        <v>1099</v>
      </c>
      <c r="GA2" s="81" t="s">
        <v>1216</v>
      </c>
      <c r="GB2" s="81" t="s">
        <v>562</v>
      </c>
      <c r="GC2" s="81" t="s">
        <v>266</v>
      </c>
      <c r="GD2" s="81" t="s">
        <v>1099</v>
      </c>
      <c r="GE2" s="81" t="s">
        <v>1417</v>
      </c>
      <c r="GF2" s="81" t="s">
        <v>1700</v>
      </c>
      <c r="GG2" s="81" t="s">
        <v>1539</v>
      </c>
      <c r="GH2" s="81" t="s">
        <v>1571</v>
      </c>
      <c r="GI2" s="81" t="s">
        <v>1673</v>
      </c>
      <c r="GJ2" s="81" t="s">
        <v>1805</v>
      </c>
      <c r="GK2" s="81" t="s">
        <v>264</v>
      </c>
      <c r="GL2" s="81" t="s">
        <v>478</v>
      </c>
      <c r="GM2" s="81" t="s">
        <v>1198</v>
      </c>
      <c r="GN2" s="81" t="s">
        <v>476</v>
      </c>
      <c r="GO2" s="81" t="s">
        <v>709</v>
      </c>
      <c r="GP2" s="81" t="s">
        <v>1099</v>
      </c>
      <c r="GQ2" s="81" t="s">
        <v>1442</v>
      </c>
      <c r="GR2" s="81" t="s">
        <v>1099</v>
      </c>
      <c r="GS2" s="81" t="s">
        <v>1099</v>
      </c>
      <c r="GT2" s="81" t="s">
        <v>1099</v>
      </c>
      <c r="GU2" s="81" t="s">
        <v>1099</v>
      </c>
      <c r="GV2" s="81" t="s">
        <v>1099</v>
      </c>
      <c r="GW2" s="83" t="s">
        <v>266</v>
      </c>
      <c r="GX2" s="83" t="s">
        <v>1341</v>
      </c>
      <c r="GY2" s="83" t="s">
        <v>1880</v>
      </c>
      <c r="GZ2" s="83" t="s">
        <v>1099</v>
      </c>
      <c r="HA2" s="83" t="s">
        <v>264</v>
      </c>
      <c r="HB2" s="83" t="s">
        <v>1099</v>
      </c>
      <c r="HC2" s="83" t="s">
        <v>1690</v>
      </c>
      <c r="HD2" s="83" t="s">
        <v>1691</v>
      </c>
      <c r="HE2" s="83" t="s">
        <v>266</v>
      </c>
      <c r="HF2" s="83" t="s">
        <v>1558</v>
      </c>
      <c r="HG2" s="83" t="s">
        <v>1432</v>
      </c>
      <c r="HH2" s="83" t="s">
        <v>1353</v>
      </c>
      <c r="HI2" s="83" t="s">
        <v>1539</v>
      </c>
      <c r="HJ2" s="83" t="s">
        <v>1099</v>
      </c>
      <c r="HK2" s="83" t="s">
        <v>1213</v>
      </c>
      <c r="HL2" s="83" t="s">
        <v>1800</v>
      </c>
      <c r="HM2" s="83" t="s">
        <v>1099</v>
      </c>
      <c r="HN2" s="83" t="s">
        <v>1099</v>
      </c>
      <c r="HO2" s="83" t="s">
        <v>1099</v>
      </c>
      <c r="HP2" s="83" t="s">
        <v>1099</v>
      </c>
      <c r="HQ2" s="83" t="s">
        <v>1099</v>
      </c>
      <c r="HR2" s="83" t="s">
        <v>1099</v>
      </c>
      <c r="HS2" s="83" t="s">
        <v>1099</v>
      </c>
      <c r="HT2" s="83" t="s">
        <v>1099</v>
      </c>
      <c r="HU2" s="79" t="s">
        <v>1133</v>
      </c>
      <c r="HV2" s="79" t="s">
        <v>1133</v>
      </c>
      <c r="HW2" s="79" t="s">
        <v>1133</v>
      </c>
      <c r="HX2" s="121" t="s">
        <v>1133</v>
      </c>
      <c r="HY2" s="79" t="s">
        <v>1133</v>
      </c>
      <c r="HZ2" s="79" t="s">
        <v>1742</v>
      </c>
      <c r="IA2" s="79" t="s">
        <v>1133</v>
      </c>
      <c r="IB2" s="79" t="s">
        <v>1133</v>
      </c>
      <c r="IC2" s="79" t="s">
        <v>1133</v>
      </c>
      <c r="ID2" s="79" t="s">
        <v>1133</v>
      </c>
      <c r="IE2" s="79" t="s">
        <v>1742</v>
      </c>
      <c r="IF2" s="79" t="s">
        <v>1742</v>
      </c>
      <c r="IG2" s="79" t="s">
        <v>1133</v>
      </c>
      <c r="IH2" s="79" t="s">
        <v>1133</v>
      </c>
      <c r="II2" s="79" t="s">
        <v>1133</v>
      </c>
      <c r="IJ2" s="79" t="s">
        <v>1133</v>
      </c>
      <c r="IK2" s="79" t="s">
        <v>1133</v>
      </c>
      <c r="IL2" s="79" t="s">
        <v>1742</v>
      </c>
      <c r="IM2" s="79" t="s">
        <v>1133</v>
      </c>
      <c r="IN2" s="79" t="s">
        <v>1133</v>
      </c>
      <c r="IO2" s="79" t="s">
        <v>1133</v>
      </c>
      <c r="IP2" s="79" t="s">
        <v>1133</v>
      </c>
      <c r="IQ2" s="79" t="s">
        <v>1742</v>
      </c>
      <c r="IR2" s="79" t="s">
        <v>1742</v>
      </c>
      <c r="IW2" s="84"/>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Z69"/>
  <sheetViews>
    <sheetView tabSelected="1" topLeftCell="A42" zoomScale="137" zoomScaleNormal="135" workbookViewId="0">
      <selection activeCell="F44" sqref="F44"/>
    </sheetView>
  </sheetViews>
  <sheetFormatPr baseColWidth="10" defaultRowHeight="16"/>
  <cols>
    <col min="1" max="1" width="16.5" customWidth="1"/>
    <col min="2" max="2" width="17" customWidth="1"/>
    <col min="5" max="5" width="16.33203125" customWidth="1"/>
    <col min="6" max="6" width="19.1640625" customWidth="1"/>
    <col min="7" max="7" width="23.5" customWidth="1"/>
    <col min="8" max="8" width="15.1640625" customWidth="1"/>
    <col min="9" max="9" width="12.6640625" customWidth="1"/>
    <col min="10" max="10" width="11.1640625" customWidth="1"/>
    <col min="11" max="11" width="17.1640625" customWidth="1"/>
    <col min="12" max="12" width="77.83203125" customWidth="1"/>
    <col min="13" max="13" width="31" customWidth="1"/>
    <col min="14" max="14" width="18.33203125" customWidth="1"/>
    <col min="15" max="16" width="17.6640625" customWidth="1"/>
    <col min="17" max="17" width="18.33203125" customWidth="1"/>
    <col min="18" max="18" width="16.83203125" customWidth="1"/>
    <col min="19" max="19" width="20.33203125" customWidth="1"/>
    <col min="24" max="24" width="15" customWidth="1"/>
    <col min="29" max="29" width="16" customWidth="1"/>
    <col min="51" max="51" width="14.33203125" customWidth="1"/>
    <col min="67" max="67" width="11.1640625" bestFit="1" customWidth="1"/>
    <col min="68" max="68" width="18.33203125" bestFit="1" customWidth="1"/>
    <col min="78" max="78" width="12.83203125" customWidth="1"/>
    <col min="177" max="177" width="15" bestFit="1" customWidth="1"/>
    <col min="178" max="178" width="14.83203125" bestFit="1" customWidth="1"/>
    <col min="180" max="180" width="21.1640625" bestFit="1" customWidth="1"/>
    <col min="181" max="181" width="15" bestFit="1" customWidth="1"/>
    <col min="183" max="183" width="13.1640625" customWidth="1"/>
    <col min="184" max="184" width="22.83203125" customWidth="1"/>
    <col min="218" max="219" width="14.6640625" customWidth="1"/>
    <col min="220" max="220" width="18.6640625" customWidth="1"/>
    <col min="221" max="221" width="20.83203125" customWidth="1"/>
    <col min="222" max="223" width="14.6640625" customWidth="1"/>
    <col min="224" max="224" width="18.33203125" customWidth="1"/>
    <col min="225" max="225" width="20.83203125" customWidth="1"/>
    <col min="229" max="229" width="20.83203125" customWidth="1"/>
    <col min="240" max="240" width="13.1640625" customWidth="1"/>
    <col min="241" max="241" width="20.83203125" customWidth="1"/>
    <col min="257" max="257" width="10.83203125" style="84"/>
  </cols>
  <sheetData>
    <row r="1" spans="1:312">
      <c r="A1" s="24" t="s">
        <v>0</v>
      </c>
      <c r="B1" s="24" t="s">
        <v>1</v>
      </c>
      <c r="C1" s="24" t="s">
        <v>2</v>
      </c>
      <c r="D1" s="24" t="s">
        <v>3</v>
      </c>
      <c r="E1" s="2" t="s">
        <v>4</v>
      </c>
      <c r="F1" s="3" t="s">
        <v>5</v>
      </c>
      <c r="G1" s="35" t="s">
        <v>6</v>
      </c>
      <c r="H1" s="36" t="s">
        <v>7</v>
      </c>
      <c r="I1" s="4" t="s">
        <v>8</v>
      </c>
      <c r="J1" s="30" t="s">
        <v>9</v>
      </c>
      <c r="K1" s="1" t="s">
        <v>10</v>
      </c>
      <c r="L1" s="35" t="s">
        <v>11</v>
      </c>
      <c r="M1" s="36" t="s">
        <v>12</v>
      </c>
      <c r="N1" s="4" t="s">
        <v>13</v>
      </c>
      <c r="O1" s="30" t="s">
        <v>14</v>
      </c>
      <c r="P1" s="1" t="s">
        <v>15</v>
      </c>
      <c r="Q1" s="35" t="s">
        <v>16</v>
      </c>
      <c r="R1" s="36" t="s">
        <v>17</v>
      </c>
      <c r="S1" s="41" t="s">
        <v>18</v>
      </c>
      <c r="T1" s="45" t="s">
        <v>19</v>
      </c>
      <c r="U1" s="1" t="s">
        <v>20</v>
      </c>
      <c r="V1" s="35" t="s">
        <v>21</v>
      </c>
      <c r="W1" s="36" t="s">
        <v>22</v>
      </c>
      <c r="X1" s="4" t="s">
        <v>23</v>
      </c>
      <c r="Y1" s="30" t="s">
        <v>24</v>
      </c>
      <c r="Z1" s="62" t="s">
        <v>25</v>
      </c>
      <c r="AA1" s="35" t="s">
        <v>26</v>
      </c>
      <c r="AB1" s="36" t="s">
        <v>27</v>
      </c>
      <c r="AC1" s="4" t="s">
        <v>28</v>
      </c>
      <c r="AD1" s="30" t="s">
        <v>29</v>
      </c>
      <c r="AE1" s="62" t="s">
        <v>30</v>
      </c>
      <c r="AF1" s="35" t="s">
        <v>31</v>
      </c>
      <c r="AG1" s="36" t="s">
        <v>32</v>
      </c>
      <c r="AH1" s="4" t="s">
        <v>33</v>
      </c>
      <c r="AI1" s="30" t="s">
        <v>34</v>
      </c>
      <c r="AJ1" s="62" t="s">
        <v>35</v>
      </c>
      <c r="AK1" s="2" t="s">
        <v>36</v>
      </c>
      <c r="AL1" s="3" t="s">
        <v>37</v>
      </c>
      <c r="AM1" s="35" t="s">
        <v>38</v>
      </c>
      <c r="AN1" s="36" t="s">
        <v>39</v>
      </c>
      <c r="AO1" s="4" t="s">
        <v>40</v>
      </c>
      <c r="AP1" s="30" t="s">
        <v>41</v>
      </c>
      <c r="AQ1" s="1" t="s">
        <v>42</v>
      </c>
      <c r="AR1" s="35" t="s">
        <v>43</v>
      </c>
      <c r="AS1" s="36" t="s">
        <v>44</v>
      </c>
      <c r="AT1" s="4" t="s">
        <v>45</v>
      </c>
      <c r="AU1" s="30" t="s">
        <v>46</v>
      </c>
      <c r="AV1" s="1" t="s">
        <v>47</v>
      </c>
      <c r="AW1" s="35" t="s">
        <v>48</v>
      </c>
      <c r="AX1" s="36" t="s">
        <v>49</v>
      </c>
      <c r="AY1" s="41" t="s">
        <v>50</v>
      </c>
      <c r="AZ1" s="45" t="s">
        <v>51</v>
      </c>
      <c r="BA1" s="1" t="s">
        <v>52</v>
      </c>
      <c r="BB1" s="35" t="s">
        <v>53</v>
      </c>
      <c r="BC1" s="36" t="s">
        <v>54</v>
      </c>
      <c r="BD1" s="4" t="s">
        <v>55</v>
      </c>
      <c r="BE1" s="30" t="s">
        <v>56</v>
      </c>
      <c r="BF1" s="62" t="s">
        <v>57</v>
      </c>
      <c r="BG1" s="35" t="s">
        <v>58</v>
      </c>
      <c r="BH1" s="36" t="s">
        <v>59</v>
      </c>
      <c r="BI1" s="4" t="s">
        <v>60</v>
      </c>
      <c r="BJ1" s="30" t="s">
        <v>61</v>
      </c>
      <c r="BK1" s="62" t="s">
        <v>62</v>
      </c>
      <c r="BL1" s="35" t="s">
        <v>63</v>
      </c>
      <c r="BM1" s="36" t="s">
        <v>64</v>
      </c>
      <c r="BN1" s="4" t="s">
        <v>65</v>
      </c>
      <c r="BO1" s="30" t="s">
        <v>66</v>
      </c>
      <c r="BP1" s="62" t="s">
        <v>67</v>
      </c>
      <c r="BQ1" s="37" t="s">
        <v>68</v>
      </c>
      <c r="BR1" s="38" t="s">
        <v>69</v>
      </c>
      <c r="BS1" s="35" t="s">
        <v>70</v>
      </c>
      <c r="BT1" s="36" t="s">
        <v>71</v>
      </c>
      <c r="BU1" s="4" t="s">
        <v>72</v>
      </c>
      <c r="BV1" s="30" t="s">
        <v>73</v>
      </c>
      <c r="BW1" s="1" t="s">
        <v>74</v>
      </c>
      <c r="BX1" s="35" t="s">
        <v>75</v>
      </c>
      <c r="BY1" s="36" t="s">
        <v>76</v>
      </c>
      <c r="BZ1" s="4" t="s">
        <v>77</v>
      </c>
      <c r="CA1" s="30" t="s">
        <v>78</v>
      </c>
      <c r="CB1" s="1" t="s">
        <v>79</v>
      </c>
      <c r="CC1" s="35" t="s">
        <v>80</v>
      </c>
      <c r="CD1" s="36" t="s">
        <v>81</v>
      </c>
      <c r="CE1" s="41" t="s">
        <v>82</v>
      </c>
      <c r="CF1" s="45" t="s">
        <v>83</v>
      </c>
      <c r="CG1" s="1" t="s">
        <v>84</v>
      </c>
      <c r="CH1" s="35" t="s">
        <v>85</v>
      </c>
      <c r="CI1" s="36" t="s">
        <v>86</v>
      </c>
      <c r="CJ1" s="4" t="s">
        <v>87</v>
      </c>
      <c r="CK1" s="30" t="s">
        <v>88</v>
      </c>
      <c r="CL1" s="62" t="s">
        <v>89</v>
      </c>
      <c r="CM1" s="35" t="s">
        <v>90</v>
      </c>
      <c r="CN1" s="36" t="s">
        <v>91</v>
      </c>
      <c r="CO1" s="4" t="s">
        <v>92</v>
      </c>
      <c r="CP1" s="30" t="s">
        <v>93</v>
      </c>
      <c r="CQ1" s="62" t="s">
        <v>94</v>
      </c>
      <c r="CR1" s="35" t="s">
        <v>95</v>
      </c>
      <c r="CS1" s="36" t="s">
        <v>96</v>
      </c>
      <c r="CT1" s="4" t="s">
        <v>97</v>
      </c>
      <c r="CU1" s="30" t="s">
        <v>98</v>
      </c>
      <c r="CV1" s="62" t="s">
        <v>99</v>
      </c>
      <c r="CW1" s="37" t="s">
        <v>100</v>
      </c>
      <c r="CX1" s="38" t="s">
        <v>101</v>
      </c>
      <c r="CY1" s="35" t="s">
        <v>102</v>
      </c>
      <c r="CZ1" s="36" t="s">
        <v>103</v>
      </c>
      <c r="DA1" s="4" t="s">
        <v>104</v>
      </c>
      <c r="DB1" s="30" t="s">
        <v>105</v>
      </c>
      <c r="DC1" s="1" t="s">
        <v>106</v>
      </c>
      <c r="DD1" s="35" t="s">
        <v>107</v>
      </c>
      <c r="DE1" s="36" t="s">
        <v>108</v>
      </c>
      <c r="DF1" s="4" t="s">
        <v>109</v>
      </c>
      <c r="DG1" s="30" t="s">
        <v>110</v>
      </c>
      <c r="DH1" s="1" t="s">
        <v>111</v>
      </c>
      <c r="DI1" s="35" t="s">
        <v>112</v>
      </c>
      <c r="DJ1" s="36" t="s">
        <v>113</v>
      </c>
      <c r="DK1" s="41" t="s">
        <v>114</v>
      </c>
      <c r="DL1" s="45" t="s">
        <v>115</v>
      </c>
      <c r="DM1" s="1" t="s">
        <v>116</v>
      </c>
      <c r="DN1" s="35" t="s">
        <v>117</v>
      </c>
      <c r="DO1" s="36" t="s">
        <v>118</v>
      </c>
      <c r="DP1" s="4" t="s">
        <v>119</v>
      </c>
      <c r="DQ1" s="30" t="s">
        <v>120</v>
      </c>
      <c r="DR1" s="62" t="s">
        <v>121</v>
      </c>
      <c r="DS1" s="35" t="s">
        <v>122</v>
      </c>
      <c r="DT1" s="36" t="s">
        <v>123</v>
      </c>
      <c r="DU1" s="4" t="s">
        <v>124</v>
      </c>
      <c r="DV1" s="30" t="s">
        <v>125</v>
      </c>
      <c r="DW1" s="62" t="s">
        <v>126</v>
      </c>
      <c r="DX1" s="35" t="s">
        <v>127</v>
      </c>
      <c r="DY1" s="36" t="s">
        <v>128</v>
      </c>
      <c r="DZ1" s="4" t="s">
        <v>129</v>
      </c>
      <c r="EA1" s="30" t="s">
        <v>130</v>
      </c>
      <c r="EB1" s="62" t="s">
        <v>131</v>
      </c>
      <c r="EC1" s="73" t="s">
        <v>132</v>
      </c>
      <c r="ED1" s="73" t="s">
        <v>133</v>
      </c>
      <c r="EE1" s="73" t="s">
        <v>134</v>
      </c>
      <c r="EF1" s="73" t="s">
        <v>135</v>
      </c>
      <c r="EG1" s="73" t="s">
        <v>136</v>
      </c>
      <c r="EH1" s="73" t="s">
        <v>137</v>
      </c>
      <c r="EI1" s="73" t="s">
        <v>138</v>
      </c>
      <c r="EJ1" s="73" t="s">
        <v>139</v>
      </c>
      <c r="EK1" s="73" t="s">
        <v>140</v>
      </c>
      <c r="EL1" s="73" t="s">
        <v>141</v>
      </c>
      <c r="EM1" s="73" t="s">
        <v>142</v>
      </c>
      <c r="EN1" s="73" t="s">
        <v>143</v>
      </c>
      <c r="EO1" s="73" t="s">
        <v>144</v>
      </c>
      <c r="EP1" s="73" t="s">
        <v>145</v>
      </c>
      <c r="EQ1" s="73" t="s">
        <v>146</v>
      </c>
      <c r="ER1" s="73" t="s">
        <v>147</v>
      </c>
      <c r="ES1" s="73" t="s">
        <v>148</v>
      </c>
      <c r="ET1" s="73" t="s">
        <v>149</v>
      </c>
      <c r="EU1" s="73" t="s">
        <v>150</v>
      </c>
      <c r="EV1" s="73" t="s">
        <v>151</v>
      </c>
      <c r="EW1" s="73" t="s">
        <v>152</v>
      </c>
      <c r="EX1" s="73" t="s">
        <v>153</v>
      </c>
      <c r="EY1" s="73" t="s">
        <v>154</v>
      </c>
      <c r="EZ1" s="73" t="s">
        <v>155</v>
      </c>
      <c r="FA1" s="68" t="s">
        <v>156</v>
      </c>
      <c r="FB1" s="68" t="s">
        <v>157</v>
      </c>
      <c r="FC1" s="68" t="s">
        <v>158</v>
      </c>
      <c r="FD1" s="68" t="s">
        <v>159</v>
      </c>
      <c r="FE1" s="68" t="s">
        <v>160</v>
      </c>
      <c r="FF1" s="68" t="s">
        <v>161</v>
      </c>
      <c r="FG1" s="68" t="s">
        <v>162</v>
      </c>
      <c r="FH1" s="68" t="s">
        <v>163</v>
      </c>
      <c r="FI1" s="68" t="s">
        <v>164</v>
      </c>
      <c r="FJ1" s="68" t="s">
        <v>165</v>
      </c>
      <c r="FK1" s="68" t="s">
        <v>166</v>
      </c>
      <c r="FL1" s="68" t="s">
        <v>167</v>
      </c>
      <c r="FM1" s="68" t="s">
        <v>168</v>
      </c>
      <c r="FN1" s="68" t="s">
        <v>169</v>
      </c>
      <c r="FO1" s="68" t="s">
        <v>170</v>
      </c>
      <c r="FP1" s="68" t="s">
        <v>171</v>
      </c>
      <c r="FQ1" s="68" t="s">
        <v>172</v>
      </c>
      <c r="FR1" s="68" t="s">
        <v>173</v>
      </c>
      <c r="FS1" s="68" t="s">
        <v>174</v>
      </c>
      <c r="FT1" s="68" t="s">
        <v>175</v>
      </c>
      <c r="FU1" s="68" t="s">
        <v>176</v>
      </c>
      <c r="FV1" s="68" t="s">
        <v>177</v>
      </c>
      <c r="FW1" s="68" t="s">
        <v>178</v>
      </c>
      <c r="FX1" s="68" t="s">
        <v>179</v>
      </c>
      <c r="FY1" s="80" t="s">
        <v>180</v>
      </c>
      <c r="FZ1" s="80" t="s">
        <v>181</v>
      </c>
      <c r="GA1" s="80" t="s">
        <v>182</v>
      </c>
      <c r="GB1" s="80" t="s">
        <v>183</v>
      </c>
      <c r="GC1" s="80" t="s">
        <v>184</v>
      </c>
      <c r="GD1" s="80" t="s">
        <v>185</v>
      </c>
      <c r="GE1" s="80" t="s">
        <v>186</v>
      </c>
      <c r="GF1" s="80" t="s">
        <v>187</v>
      </c>
      <c r="GG1" s="80" t="s">
        <v>188</v>
      </c>
      <c r="GH1" s="80" t="s">
        <v>189</v>
      </c>
      <c r="GI1" s="80" t="s">
        <v>190</v>
      </c>
      <c r="GJ1" s="80" t="s">
        <v>191</v>
      </c>
      <c r="GK1" s="80" t="s">
        <v>192</v>
      </c>
      <c r="GL1" s="80" t="s">
        <v>193</v>
      </c>
      <c r="GM1" s="80" t="s">
        <v>194</v>
      </c>
      <c r="GN1" s="80" t="s">
        <v>195</v>
      </c>
      <c r="GO1" s="80" t="s">
        <v>196</v>
      </c>
      <c r="GP1" s="80" t="s">
        <v>197</v>
      </c>
      <c r="GQ1" s="80" t="s">
        <v>198</v>
      </c>
      <c r="GR1" s="80" t="s">
        <v>199</v>
      </c>
      <c r="GS1" s="80" t="s">
        <v>200</v>
      </c>
      <c r="GT1" s="80" t="s">
        <v>201</v>
      </c>
      <c r="GU1" s="80" t="s">
        <v>202</v>
      </c>
      <c r="GV1" s="80" t="s">
        <v>203</v>
      </c>
      <c r="GW1" s="82" t="s">
        <v>204</v>
      </c>
      <c r="GX1" s="82" t="s">
        <v>205</v>
      </c>
      <c r="GY1" s="82" t="s">
        <v>206</v>
      </c>
      <c r="GZ1" s="82" t="s">
        <v>207</v>
      </c>
      <c r="HA1" s="82" t="s">
        <v>208</v>
      </c>
      <c r="HB1" s="82" t="s">
        <v>209</v>
      </c>
      <c r="HC1" s="82" t="s">
        <v>210</v>
      </c>
      <c r="HD1" s="82" t="s">
        <v>211</v>
      </c>
      <c r="HE1" s="82" t="s">
        <v>212</v>
      </c>
      <c r="HF1" s="82" t="s">
        <v>213</v>
      </c>
      <c r="HG1" s="82" t="s">
        <v>214</v>
      </c>
      <c r="HH1" s="82" t="s">
        <v>215</v>
      </c>
      <c r="HI1" s="82" t="s">
        <v>216</v>
      </c>
      <c r="HJ1" s="82" t="s">
        <v>217</v>
      </c>
      <c r="HK1" s="82" t="s">
        <v>218</v>
      </c>
      <c r="HL1" s="82" t="s">
        <v>219</v>
      </c>
      <c r="HM1" s="82" t="s">
        <v>220</v>
      </c>
      <c r="HN1" s="82" t="s">
        <v>221</v>
      </c>
      <c r="HO1" s="82" t="s">
        <v>222</v>
      </c>
      <c r="HP1" s="82" t="s">
        <v>223</v>
      </c>
      <c r="HQ1" s="82" t="s">
        <v>224</v>
      </c>
      <c r="HR1" s="82" t="s">
        <v>225</v>
      </c>
      <c r="HS1" s="82" t="s">
        <v>226</v>
      </c>
      <c r="HT1" s="82" t="s">
        <v>227</v>
      </c>
      <c r="HU1" s="68" t="s">
        <v>1129</v>
      </c>
      <c r="HV1" s="68" t="s">
        <v>1134</v>
      </c>
      <c r="HW1" s="68" t="s">
        <v>1135</v>
      </c>
      <c r="HX1" s="68" t="s">
        <v>1136</v>
      </c>
      <c r="HY1" s="68" t="s">
        <v>1137</v>
      </c>
      <c r="HZ1" s="68" t="s">
        <v>1138</v>
      </c>
      <c r="IA1" s="68" t="s">
        <v>1130</v>
      </c>
      <c r="IB1" s="68" t="s">
        <v>1139</v>
      </c>
      <c r="IC1" s="68" t="s">
        <v>1140</v>
      </c>
      <c r="ID1" s="68" t="s">
        <v>1141</v>
      </c>
      <c r="IE1" s="68" t="s">
        <v>1142</v>
      </c>
      <c r="IF1" s="68" t="s">
        <v>1143</v>
      </c>
      <c r="IG1" s="68" t="s">
        <v>1131</v>
      </c>
      <c r="IH1" s="68" t="s">
        <v>1144</v>
      </c>
      <c r="II1" s="68" t="s">
        <v>1145</v>
      </c>
      <c r="IJ1" s="68" t="s">
        <v>1146</v>
      </c>
      <c r="IK1" s="68" t="s">
        <v>1147</v>
      </c>
      <c r="IL1" s="68" t="s">
        <v>1148</v>
      </c>
      <c r="IM1" s="68" t="s">
        <v>1132</v>
      </c>
      <c r="IN1" s="68" t="s">
        <v>1149</v>
      </c>
      <c r="IO1" s="68" t="s">
        <v>1150</v>
      </c>
      <c r="IP1" s="68" t="s">
        <v>1151</v>
      </c>
      <c r="IQ1" s="68" t="s">
        <v>1152</v>
      </c>
      <c r="IR1" s="68" t="s">
        <v>1153</v>
      </c>
    </row>
    <row r="2" spans="1:312" ht="49" customHeight="1">
      <c r="A2" s="24" t="str">
        <f>B5</f>
        <v>Project Search Light</v>
      </c>
      <c r="B2" s="24" t="str">
        <f>B6</f>
        <v>北京、上海</v>
      </c>
      <c r="C2" s="25">
        <f>B7</f>
        <v>46160</v>
      </c>
      <c r="D2" s="25">
        <f>B8</f>
        <v>46163</v>
      </c>
      <c r="E2" s="39">
        <f>B12</f>
        <v>46160</v>
      </c>
      <c r="F2" s="26" t="str">
        <f>B13</f>
        <v>北京</v>
      </c>
      <c r="G2" s="27" t="str">
        <f>A15</f>
        <v>9:30-10:30</v>
      </c>
      <c r="H2" s="28" t="str">
        <f>B15 &amp; CHAR(10) &amp; C15 &amp; CHAR(10) &amp; D15</f>
        <v>1对1
线下会议
中文</v>
      </c>
      <c r="I2" s="102" t="str">
        <f>G15 &amp; CHAR(10) &amp; F15</f>
        <v xml:space="preserve">Oasis Management
</v>
      </c>
      <c r="J2" s="30" t="str">
        <f>IF(H15="","",H15)</f>
        <v>Marvin Tang (基金经理），Richard Guan (研究员）</v>
      </c>
      <c r="K2" s="31" t="str">
        <f>IF(I15="","",I15)</f>
        <v/>
      </c>
      <c r="L2" s="27" t="str">
        <f>A16</f>
        <v>11:15-12:15</v>
      </c>
      <c r="M2" s="28" t="str">
        <f>B16 &amp; CHAR(10) &amp; C16 &amp; CHAR(10) &amp; D16</f>
        <v>1对1
线下会议
中文</v>
      </c>
      <c r="N2" s="102" t="str">
        <f>G16 &amp; CHAR(10) &amp; F16</f>
        <v xml:space="preserve">Factorial
</v>
      </c>
      <c r="O2" s="30" t="str">
        <f>IF(H16="","",H16)</f>
        <v>Kyle Chan（投资经理）</v>
      </c>
      <c r="P2" s="31" t="str">
        <f>IF(I16="","",I16)</f>
        <v>中环安庆台1号安庆大厦12楼</v>
      </c>
      <c r="Q2" s="27" t="str">
        <f>A17</f>
        <v>12:30-14:00</v>
      </c>
      <c r="R2" s="28" t="str">
        <f>B17 &amp; CHAR(10) &amp; C17 &amp; CHAR(10) &amp; D17</f>
        <v>1对1
线下会议
中文</v>
      </c>
      <c r="S2" s="42" t="str">
        <f>G17 &amp; CHAR(10) &amp; F17</f>
        <v>EIP
易亚投资</v>
      </c>
      <c r="T2" s="44" t="str">
        <f>IF(H17="","",H17)</f>
        <v>Jason Jiang
（基金经理）
Gin Tian
（投资经理）</v>
      </c>
      <c r="U2" s="43" t="str">
        <f>IF(I17="","",I17)</f>
        <v>中环雪厂街10号新显利大厦337室</v>
      </c>
      <c r="V2" s="49" t="str">
        <f>A18</f>
        <v>14:30-15:30</v>
      </c>
      <c r="W2" s="53" t="str">
        <f>B18 &amp; CHAR(10) &amp; C18 &amp; CHAR(10) &amp; D18</f>
        <v>1对1
线下会议
中文</v>
      </c>
      <c r="X2" s="60" t="str">
        <f>G18 &amp; CHAR(10) &amp; F18</f>
        <v xml:space="preserve">Matrix Capital
</v>
      </c>
      <c r="Y2" s="46" t="str">
        <f>IF(H18="","",H18)</f>
        <v>宋奇（基金经理）</v>
      </c>
      <c r="Z2" s="63" t="str">
        <f>IF(I18="","",I18)</f>
        <v/>
      </c>
      <c r="AA2" s="50" t="str">
        <f>A19</f>
        <v>16:00-17:00</v>
      </c>
      <c r="AB2" s="53" t="str">
        <f>B19 &amp; CHAR(10) &amp; C19 &amp; CHAR(10) &amp; D19</f>
        <v>1对1
线下会议
中文</v>
      </c>
      <c r="AC2" s="60" t="str">
        <f>G19 &amp; CHAR(10) &amp; F19</f>
        <v xml:space="preserve">Citadel
</v>
      </c>
      <c r="AD2" s="45" t="str">
        <f>IF(H19="","",H19)</f>
        <v>Julia Tsai（分析师）</v>
      </c>
      <c r="AE2" s="62" t="str">
        <f>IF(I19="","",I19)</f>
        <v/>
      </c>
      <c r="AF2" s="51">
        <f>A20</f>
        <v>0</v>
      </c>
      <c r="AG2" s="54" t="str">
        <f>B20 &amp; CHAR(10) &amp; C20 &amp; CHAR(10) &amp; D20</f>
        <v xml:space="preserve">
</v>
      </c>
      <c r="AH2" s="59" t="str">
        <f>G20 &amp; CHAR(10) &amp; F20</f>
        <v xml:space="preserve">Monashee
</v>
      </c>
      <c r="AI2" s="45" t="str">
        <f>IF(H20="","",H20)</f>
        <v>Andy Scott
（亚太资本市场负责人，基金经理）
Dave Yin
（投资分析师）</v>
      </c>
      <c r="AJ2" s="62" t="str">
        <f>IF(I20="","",I20)</f>
        <v/>
      </c>
      <c r="AK2" s="67">
        <f>B23</f>
        <v>46161</v>
      </c>
      <c r="AL2" s="68" t="str">
        <f>B24</f>
        <v>北京</v>
      </c>
      <c r="AM2" s="51" t="str">
        <f>A26</f>
        <v>9:30-10:30</v>
      </c>
      <c r="AN2" s="54" t="str">
        <f>B26 &amp; CHAR(10) &amp; C26 &amp; CHAR(10) &amp; D26</f>
        <v>1对1
线下会议
中文</v>
      </c>
      <c r="AO2" s="59" t="str">
        <f>G26 &amp; CHAR(10) &amp; F26</f>
        <v>Y2 Capital
奕图资本</v>
      </c>
      <c r="AP2" s="45" t="str">
        <f>IF(H26="","",H26)</f>
        <v>黄正初 （董事总经理）</v>
      </c>
      <c r="AQ2" s="62" t="str">
        <f>IF(I26="","",I26)</f>
        <v/>
      </c>
      <c r="AR2" s="49" t="str">
        <f>A27</f>
        <v>11:00-12:00</v>
      </c>
      <c r="AS2" s="55" t="str">
        <f>B27 &amp; CHAR(10) &amp; C27 &amp; CHAR(10) &amp; D27</f>
        <v>1对1
线下会议
中文</v>
      </c>
      <c r="AT2" s="59" t="str">
        <f>G27 &amp; CHAR(10) &amp; F27</f>
        <v xml:space="preserve">Centiva Capital
</v>
      </c>
      <c r="AU2" s="45" t="str">
        <f>IF(H27="","",H27)</f>
        <v>Piers Cassidy
（基金经理）
阿麦斯：James Cheung（分析师）</v>
      </c>
      <c r="AV2" s="64" t="str">
        <f>IF(I27="","",I27)</f>
        <v/>
      </c>
      <c r="AW2" s="50" t="str">
        <f>A28</f>
        <v>13:00-14:00</v>
      </c>
      <c r="AX2" s="54" t="str">
        <f>B28 &amp; CHAR(10) &amp; C28 &amp; CHAR(10) &amp; D28</f>
        <v>1对1
线下会议
中文</v>
      </c>
      <c r="AY2" s="60" t="str">
        <f>G28 &amp; CHAR(10) &amp; F28</f>
        <v>Polymer Capital
柏骏资本</v>
      </c>
      <c r="AZ2" s="45" t="str">
        <f>IF(H28="","",H28)</f>
        <v>Hillman Wong
（资本市场负责人）
Elaine Wang
（ECM董事）
Andy Kung
（基金经理）</v>
      </c>
      <c r="BA2" s="62" t="str">
        <f>IF(I28="","",I28)</f>
        <v/>
      </c>
      <c r="BB2" s="27" t="str">
        <f>A29</f>
        <v>14:30-15:30</v>
      </c>
      <c r="BC2" s="56" t="str">
        <f>B29 &amp; CHAR(10) &amp; C29 &amp; CHAR(10) &amp; D29</f>
        <v>1对1
线下会议
中文</v>
      </c>
      <c r="BD2" s="59" t="str">
        <f>G29 &amp; CHAR(10) &amp; F29</f>
        <v>D.E. Shaw
德邵基金</v>
      </c>
      <c r="BE2" s="44" t="str">
        <f>IF(H29="","",H29)</f>
        <v>Qinbo Ding（基金经理）
Joe Zhu（ECM负责人）</v>
      </c>
      <c r="BF2" s="62" t="str">
        <f>IF(I29="","",I29)</f>
        <v>"中环皇后大道中15号置地广场York House19楼</v>
      </c>
      <c r="BG2" s="49">
        <f>A30</f>
        <v>0</v>
      </c>
      <c r="BH2" s="53" t="str">
        <f>B30 &amp; CHAR(10) &amp; C30 &amp; CHAR(10) &amp; D30</f>
        <v xml:space="preserve">
</v>
      </c>
      <c r="BI2" s="58" t="str">
        <f>G30 &amp; CHAR(10) &amp; F30</f>
        <v xml:space="preserve">Viridian
</v>
      </c>
      <c r="BJ2" s="46" t="str">
        <f>IF(H30="","",H30)</f>
        <v>Heidi Hung (head of research)</v>
      </c>
      <c r="BK2" s="63" t="str">
        <f>IF(I30="","",I30)</f>
        <v/>
      </c>
      <c r="BL2" s="50">
        <f>A31</f>
        <v>0</v>
      </c>
      <c r="BM2" s="53" t="str">
        <f>B31 &amp; CHAR(10) &amp; C31 &amp; CHAR(10) &amp; D31</f>
        <v xml:space="preserve">
</v>
      </c>
      <c r="BN2" s="58" t="str">
        <f>G31 &amp; CHAR(10) &amp; F31</f>
        <v>Anlan Capital
安澜资本</v>
      </c>
      <c r="BO2" s="45" t="str">
        <f>IF(H31="","",H31)</f>
        <v>孙瑞（执行董事）
Jack（创始人）</v>
      </c>
      <c r="BP2" s="62" t="str">
        <f>IF(I31="","",I31)</f>
        <v/>
      </c>
      <c r="BQ2" s="69">
        <f>B34</f>
        <v>46162</v>
      </c>
      <c r="BR2" s="70" t="str">
        <f>B35</f>
        <v>上海</v>
      </c>
      <c r="BS2" s="50" t="str">
        <f>A37</f>
        <v>9:30-10:30</v>
      </c>
      <c r="BT2" s="53" t="str">
        <f>B37 &amp; CHAR(10) &amp; C37 &amp; CHAR(10) &amp; D37</f>
        <v>1对1
线下会议
中文</v>
      </c>
      <c r="BU2" s="60" t="str">
        <f>G37 &amp; CHAR(10) &amp; F37</f>
        <v xml:space="preserve">Nine Masts Capital
</v>
      </c>
      <c r="BV2" s="45" t="str">
        <f>IF(H37="","",H37)</f>
        <v/>
      </c>
      <c r="BW2" s="62" t="str">
        <f>IF(I37="","",I37)</f>
        <v/>
      </c>
      <c r="BX2" s="51" t="str">
        <f>A38</f>
        <v>11:00-12:00</v>
      </c>
      <c r="BY2" s="54" t="str">
        <f>B38 &amp; CHAR(10) &amp; C38 &amp; CHAR(10) &amp; D38</f>
        <v>1对1
线下会议
中文</v>
      </c>
      <c r="BZ2" s="59" t="str">
        <f>G38&amp; CHAR(10) &amp; F38</f>
        <v>Aspoon Capital
一瓢资本</v>
      </c>
      <c r="CA2" s="45" t="str">
        <f>IF(H38="","",H38)</f>
        <v/>
      </c>
      <c r="CB2" s="62" t="str">
        <f>IF(I38="","",I38)</f>
        <v/>
      </c>
      <c r="CC2" s="49" t="str">
        <f>A39</f>
        <v>14:00-15:00</v>
      </c>
      <c r="CD2" s="53" t="str">
        <f>B39 &amp; CHAR(10) &amp; C39 &amp; CHAR(10) &amp; D39</f>
        <v>1对1
线下会议
中文</v>
      </c>
      <c r="CE2" s="60" t="str">
        <f>G39 &amp; CHAR(10) &amp; F39</f>
        <v>Oakwise Capital
瑞橡资本</v>
      </c>
      <c r="CF2" s="44" t="str">
        <f>IF(H39="","",H39)</f>
        <v>梁启正（MD）
Felix Huang（权益投资部主管）</v>
      </c>
      <c r="CG2" s="63" t="str">
        <f>IF(I39="","",I39)</f>
        <v>香港中環干諾道中1號友邦金融中心32樓</v>
      </c>
      <c r="CH2" s="49" t="str">
        <f>A40</f>
        <v>15:30-16:30</v>
      </c>
      <c r="CI2" s="53" t="str">
        <f>B40 &amp; CHAR(10) &amp; C40 &amp; CHAR(10) &amp; D40</f>
        <v>1对1
线下会议
中文</v>
      </c>
      <c r="CJ2" s="60" t="str">
        <f>G40 &amp; CHAR(10) &amp; F40</f>
        <v>Cithara
信庭</v>
      </c>
      <c r="CK2" s="47" t="str">
        <f>IF(H40="","",H40)</f>
        <v>Justin Zhang（创始人）
王辉（董事总经理）</v>
      </c>
      <c r="CL2" s="65" t="str">
        <f>IF(I40="","",I40)</f>
        <v>中环花园道 3 号中国工商银行大厦 36 楼 3607-08室</v>
      </c>
      <c r="CM2" s="52" t="str">
        <f>A41</f>
        <v>17:00-18:00</v>
      </c>
      <c r="CN2" s="56" t="str">
        <f>B41 &amp; CHAR(10) &amp; C41 &amp; CHAR(10) &amp; D41</f>
        <v>1对1
线下会议
中文</v>
      </c>
      <c r="CO2" s="59" t="str">
        <f>G41 &amp; CHAR(10) &amp; F41</f>
        <v>Dream'ee Capital
君宜资本</v>
      </c>
      <c r="CP2" s="44" t="str">
        <f>IF(H41="","",H41)</f>
        <v/>
      </c>
      <c r="CQ2" s="66" t="str">
        <f>IF(I41="","",I41)</f>
        <v/>
      </c>
      <c r="CR2" s="52">
        <f>A42</f>
        <v>0</v>
      </c>
      <c r="CS2" s="57" t="str">
        <f>B42 &amp; CHAR(10) &amp; C42 &amp; CHAR(10) &amp; D42</f>
        <v xml:space="preserve">
</v>
      </c>
      <c r="CT2" s="61" t="str">
        <f>G42 &amp; CHAR(10) &amp; F42</f>
        <v>China Life Franklin
中国人寿富兰克林</v>
      </c>
      <c r="CU2" s="46" t="str">
        <f>IF(H42="","",H42)</f>
        <v>Cathy Luo（基金经理）
齐凡（ECM负责人）</v>
      </c>
      <c r="CV2" s="63" t="str">
        <f>IF(I42="","",I42)</f>
        <v/>
      </c>
      <c r="CW2" s="71">
        <f>B45</f>
        <v>46163</v>
      </c>
      <c r="CX2" s="72" t="str">
        <f>B46</f>
        <v>香港</v>
      </c>
      <c r="CY2" s="52" t="str">
        <f>A48</f>
        <v>9:30-10:30</v>
      </c>
      <c r="CZ2" s="57" t="str">
        <f>B48 &amp; CHAR(10) &amp; C48 &amp; CHAR(10) &amp; D48</f>
        <v>1对1
线下会议
中文</v>
      </c>
      <c r="DA2" s="103" t="str">
        <f>G48 &amp; CHAR(10) &amp; F48</f>
        <v xml:space="preserve">Ghisallo
</v>
      </c>
      <c r="DB2" s="46" t="str">
        <f>IF(H48="","",H48)</f>
        <v>Ho Kun Lin 
（ECM业务负责人）
Philippe Ziegler
（基金经理）
Vivian Lau
（资深分析师）</v>
      </c>
      <c r="DC2" s="63" t="str">
        <f>IF(I48="","",I48)</f>
        <v/>
      </c>
      <c r="DD2" s="50" t="str">
        <f>A49</f>
        <v>11:00-12:00</v>
      </c>
      <c r="DE2" s="57" t="str">
        <f>B49 &amp; CHAR(10) &amp; C49 &amp; CHAR(10) &amp; D49</f>
        <v>1对1
线下会议
中文</v>
      </c>
      <c r="DF2" s="103" t="str">
        <f>G49&amp; CHAR(10) &amp; F49</f>
        <v>Taikang AM
泰康资管</v>
      </c>
      <c r="DG2" s="48" t="str">
        <f>IF(H49="","",H49)</f>
        <v>陈济（投资总监）
Ray Li（机械分析师）
远景动力：
陈济（投资总监）
李睿（权益研究总监）
田晓萱（新股投资经理）</v>
      </c>
      <c r="DH2" s="66" t="str">
        <f>IF(I49="","",I49)</f>
        <v/>
      </c>
      <c r="DI2" s="51" t="str">
        <f>A50</f>
        <v>14:30-15:30</v>
      </c>
      <c r="DJ2" s="29" t="str">
        <f>B50 &amp; CHAR(10) &amp; C50 &amp; CHAR(10) &amp; D50</f>
        <v>1对1
线下会议
中文</v>
      </c>
      <c r="DK2" s="59" t="str">
        <f>G50 &amp; CHAR(10) &amp; F50</f>
        <v>Orchid Asia
兰馨亚洲</v>
      </c>
      <c r="DL2" s="48" t="str">
        <f>IF(H50="","",H50)</f>
        <v>Gilbert Lee（创始人）
Kevin Huang（董事总经理）
Luis Lui（分析师）</v>
      </c>
      <c r="DM2" s="66" t="str">
        <f>IF(I50="","",I50)</f>
        <v>深圳市福田区福田街道福华一路111号招商证券大厦22楼</v>
      </c>
      <c r="DN2" s="52" t="str">
        <f>A51</f>
        <v>16:00-17:00</v>
      </c>
      <c r="DO2" s="57" t="str">
        <f>B51 &amp; CHAR(10) &amp; C51 &amp; CHAR(10) &amp; D51</f>
        <v>1对1
线下会议
中文</v>
      </c>
      <c r="DP2" s="60" t="str">
        <f>G51 &amp; CHAR(10) &amp; F51</f>
        <v xml:space="preserve">
盘京投资</v>
      </c>
      <c r="DQ2" s="44" t="str">
        <f>IF(H51="","",H51)</f>
        <v>庄涛（创始人）</v>
      </c>
      <c r="DR2" s="63" t="str">
        <f>IF(I51="","",I51)</f>
        <v/>
      </c>
      <c r="DS2" s="52">
        <f>A52</f>
        <v>0</v>
      </c>
      <c r="DT2" s="57" t="str">
        <f>B52 &amp; CHAR(10) &amp; C52 &amp; CHAR(10) &amp; D52</f>
        <v xml:space="preserve">
</v>
      </c>
      <c r="DU2" s="103" t="str">
        <f>G52&amp; CHAR(10) &amp; F52</f>
        <v>Loyal Valley Capital
正心谷</v>
      </c>
      <c r="DV2" s="48" t="str">
        <f>IF(H52="","",H52)</f>
        <v>陈晓宇（董事总经理）</v>
      </c>
      <c r="DW2" s="64" t="str">
        <f>IF(I52="","",I52)</f>
        <v/>
      </c>
      <c r="DX2" s="50">
        <f>A53</f>
        <v>0</v>
      </c>
      <c r="DY2" s="54" t="str">
        <f>B53 &amp; CHAR(10) &amp; C53 &amp; CHAR(10) &amp; D53</f>
        <v xml:space="preserve">
</v>
      </c>
      <c r="DZ2" s="103" t="str">
        <f>G53 &amp; CHAR(10) &amp; F53</f>
        <v>Spring Capital
淡水泉</v>
      </c>
      <c r="EA2" s="48" t="str">
        <f>IF(H53="","",H53)</f>
        <v>赵军（创始人）</v>
      </c>
      <c r="EB2" s="66" t="str">
        <f>IF(I53="","",I53)</f>
        <v/>
      </c>
      <c r="EC2" s="74" t="str">
        <f>J15</f>
        <v>多策略基金</v>
      </c>
      <c r="ED2" s="75" t="str">
        <f>K15</f>
        <v>超10亿美元</v>
      </c>
      <c r="EE2" s="76" t="str">
        <f>L15</f>
        <v>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v>
      </c>
      <c r="EF2" s="77" t="str">
        <f>M15</f>
        <v/>
      </c>
      <c r="EG2" s="78" t="str">
        <f>J16</f>
        <v>多策略基金</v>
      </c>
      <c r="EH2" s="78" t="str">
        <f>K16</f>
        <v>20亿美元</v>
      </c>
      <c r="EI2" s="76" t="str">
        <f>L16</f>
        <v>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v>
      </c>
      <c r="EJ2" s="76" t="str">
        <f>M16</f>
        <v>迅策</v>
      </c>
      <c r="EK2" s="76" t="str">
        <f>J17</f>
        <v>多策略基金</v>
      </c>
      <c r="EL2" s="76" t="str">
        <f>K17</f>
        <v>40亿美元</v>
      </c>
      <c r="EM2" s="76" t="str">
        <f>L17</f>
        <v>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v>
      </c>
      <c r="EN2" s="76" t="str">
        <f>M17</f>
        <v>壁仞科技</v>
      </c>
      <c r="EO2" s="78" t="str">
        <f>J18</f>
        <v>私募股权</v>
      </c>
      <c r="EP2" s="78" t="str">
        <f>K18</f>
        <v/>
      </c>
      <c r="EQ2" s="101" t="str">
        <f>L18</f>
        <v>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v>
      </c>
      <c r="ER2" s="101" t="str">
        <f>M18</f>
        <v>梦金园</v>
      </c>
      <c r="ES2" s="76" t="str">
        <f>J19</f>
        <v>多策略基金</v>
      </c>
      <c r="ET2" s="76" t="str">
        <f>K19</f>
        <v/>
      </c>
      <c r="EU2" s="76" t="str">
        <f>L19</f>
        <v>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v>
      </c>
      <c r="EV2" s="76" t="str">
        <f>M19</f>
        <v>云顶新耀-B</v>
      </c>
      <c r="EW2" s="76" t="str">
        <f>J20</f>
        <v>多策略基金</v>
      </c>
      <c r="EX2" s="76" t="str">
        <f>K20</f>
        <v/>
      </c>
      <c r="EY2" s="76" t="str">
        <f>L20</f>
        <v>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v>
      </c>
      <c r="EZ2" s="76" t="str">
        <f>M20</f>
        <v/>
      </c>
      <c r="FA2" s="79" t="str">
        <f>J26</f>
        <v>多策略基金</v>
      </c>
      <c r="FB2" s="79" t="str">
        <f>K26</f>
        <v/>
      </c>
      <c r="FC2" s="68" t="str">
        <f>L26</f>
        <v>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v>
      </c>
      <c r="FD2" s="68" t="str">
        <f>M26</f>
        <v/>
      </c>
      <c r="FE2" s="72" t="str">
        <f>J27</f>
        <v>多策略基金</v>
      </c>
      <c r="FF2" s="72" t="str">
        <f>K27</f>
        <v/>
      </c>
      <c r="FG2" s="72" t="str">
        <f>L27</f>
        <v>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v>
      </c>
      <c r="FH2" s="72" t="str">
        <f>M27</f>
        <v/>
      </c>
      <c r="FI2" s="70" t="str">
        <f>J28</f>
        <v>多策略基金</v>
      </c>
      <c r="FJ2" s="70" t="str">
        <f>K28</f>
        <v/>
      </c>
      <c r="FK2" s="40" t="str">
        <f>L28</f>
        <v>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v>
      </c>
      <c r="FL2" s="40" t="str">
        <f>M28</f>
        <v/>
      </c>
      <c r="FM2" s="72" t="str">
        <f>J29</f>
        <v>多策略基金</v>
      </c>
      <c r="FN2" s="72" t="str">
        <f>K29</f>
        <v>超650亿美元</v>
      </c>
      <c r="FO2" s="72" t="str">
        <f>L29</f>
        <v>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v>
      </c>
      <c r="FP2" s="72" t="str">
        <f>M29</f>
        <v>新华保险、海通证券</v>
      </c>
      <c r="FQ2" s="70" t="str">
        <f>J30</f>
        <v>多策略基金</v>
      </c>
      <c r="FR2" s="70" t="str">
        <f>K30</f>
        <v/>
      </c>
      <c r="FS2" s="70" t="str">
        <f>L30</f>
        <v>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v>
      </c>
      <c r="FT2" s="70" t="str">
        <f>M30</f>
        <v/>
      </c>
      <c r="FU2" s="40" t="str">
        <f>J31</f>
        <v>中资长线</v>
      </c>
      <c r="FV2" s="40" t="str">
        <f>K31</f>
        <v/>
      </c>
      <c r="FW2" s="40" t="str">
        <f>L31</f>
        <v>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v>
      </c>
      <c r="FX2" s="40" t="str">
        <f>M31</f>
        <v>和铂医药-B、海普瑞</v>
      </c>
      <c r="FY2" s="81" t="str">
        <f>J37</f>
        <v>多策略基金</v>
      </c>
      <c r="FZ2" s="81" t="str">
        <f>K37</f>
        <v>9亿美元</v>
      </c>
      <c r="GA2" s="81" t="str">
        <f>L37</f>
        <v>Nine Masts Capital是一家总部位于香港的对冲基金管理公司，由王兵于2010年创立。这家多元策略公司交易多种资产类别，包括股票、信贷、可转换债券、数字资产和外汇，主要在亚洲市场开展业务。其资产管理规模约9亿美元。</v>
      </c>
      <c r="GB2" s="81" t="str">
        <f>M37</f>
        <v/>
      </c>
      <c r="GC2" s="81" t="str">
        <f>J38</f>
        <v>多策略基金</v>
      </c>
      <c r="GD2" s="81" t="str">
        <f>K38</f>
        <v>5,600美元</v>
      </c>
      <c r="GE2" s="81" t="str">
        <f>L38</f>
        <v>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v>
      </c>
      <c r="GF2" s="81" t="str">
        <f>M38</f>
        <v/>
      </c>
      <c r="GG2" s="81" t="str">
        <f>J39</f>
        <v>私募股权</v>
      </c>
      <c r="GH2" s="81" t="str">
        <f>K39</f>
        <v/>
      </c>
      <c r="GI2" s="81" t="str">
        <f>L39</f>
        <v>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v>
      </c>
      <c r="GJ2" s="81" t="str">
        <f>M39</f>
        <v/>
      </c>
      <c r="GK2" s="81" t="str">
        <f>J40</f>
        <v>多策略基金</v>
      </c>
      <c r="GL2" s="81" t="str">
        <f>K40</f>
        <v>超过20亿人民币</v>
      </c>
      <c r="GM2" s="81" t="str">
        <f>L40</f>
        <v>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v>
      </c>
      <c r="GN2" s="81" t="str">
        <f>M40</f>
        <v>长光辰芯、迅策、卧安机器人、HASHKEY HLDGS、剑桥科技、不同集团</v>
      </c>
      <c r="GO2" s="81" t="str">
        <f>J41</f>
        <v>私募股权</v>
      </c>
      <c r="GP2" s="81" t="str">
        <f>K41</f>
        <v/>
      </c>
      <c r="GQ2" s="81" t="str">
        <f>L41</f>
        <v>君宜香港资本有限公司（Dream'ee (Hong Kong) Capital Limited）是一家在香港持牌的金融机构，受香港证券及期货事务监察委员会（证监会）监管。其主要业务包括企业融资、二级股权市场投资、首次公开募股（IPO）、债券及衍生品交易。</v>
      </c>
      <c r="GR2" s="81" t="str">
        <f>M41</f>
        <v/>
      </c>
      <c r="GS2" s="81" t="str">
        <f>J42</f>
        <v>中资长线</v>
      </c>
      <c r="GT2" s="81" t="str">
        <f>K42</f>
        <v/>
      </c>
      <c r="GU2" s="81" t="str">
        <f>L42</f>
        <v>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v>
      </c>
      <c r="GV2" s="81" t="str">
        <f>M42</f>
        <v>中银航空租赁、国联证券、联想控股、三生制药</v>
      </c>
      <c r="GW2" s="83" t="str">
        <f>J48</f>
        <v>多策略基金</v>
      </c>
      <c r="GX2" s="83" t="str">
        <f>K48</f>
        <v/>
      </c>
      <c r="GY2" s="83" t="str">
        <f>L48</f>
        <v>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v>
      </c>
      <c r="GZ2" s="83" t="str">
        <f>M48</f>
        <v>顺丰控股、华润饮料</v>
      </c>
      <c r="HA2" s="83" t="str">
        <f>J49</f>
        <v>险资长线</v>
      </c>
      <c r="HB2" s="83" t="str">
        <f>K49</f>
        <v>4.5万亿人民币</v>
      </c>
      <c r="HC2" s="83" t="str">
        <f>L49</f>
        <v>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v>
      </c>
      <c r="HD2" s="83" t="str">
        <f>M49</f>
        <v>华勤技术、群核科技、澜起科技、东鹏饮料、鸣鸣很忙、兆易创新、Minimax-WP等</v>
      </c>
      <c r="HE2" s="83" t="str">
        <f>J50</f>
        <v>私募股权</v>
      </c>
      <c r="HF2" s="83" t="str">
        <f>K50</f>
        <v>约60亿美元</v>
      </c>
      <c r="HG2" s="83" t="str">
        <f>L50</f>
        <v>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v>
      </c>
      <c r="HH2" s="83" t="str">
        <f>M50</f>
        <v>宁德时代、九方财富、Vesync、合景悠活、宝龙商业、九方智投控股、华夏控股、天喔国际、时计宝、唐宫中国</v>
      </c>
      <c r="HI2" s="83" t="str">
        <f>J51</f>
        <v/>
      </c>
      <c r="HJ2" s="83" t="str">
        <f>K51</f>
        <v/>
      </c>
      <c r="HK2" s="83" t="str">
        <f>L51</f>
        <v>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v>
      </c>
      <c r="HL2" s="83" t="str">
        <f>M51</f>
        <v/>
      </c>
      <c r="HM2" s="83" t="str">
        <f>J52</f>
        <v>中资长线</v>
      </c>
      <c r="HN2" s="83" t="str">
        <f>K52</f>
        <v/>
      </c>
      <c r="HO2" s="83" t="str">
        <f>L52</f>
        <v>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v>
      </c>
      <c r="HP2" s="83" t="str">
        <f>M52</f>
        <v>维立志博-B</v>
      </c>
      <c r="HQ2" s="83" t="str">
        <f>J53</f>
        <v>私募股权</v>
      </c>
      <c r="HR2" s="83" t="str">
        <f>K53</f>
        <v/>
      </c>
      <c r="HS2" s="83" t="str">
        <f>L53</f>
        <v>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v>
      </c>
      <c r="HT2" s="83" t="str">
        <f>M53</f>
        <v>远洋服务</v>
      </c>
      <c r="HU2" s="79" t="str">
        <f>S15 &amp; CHAR(10) &amp; CHAR(10) &amp; D15</f>
        <v>1x1
中文</v>
      </c>
      <c r="HV2" s="79" t="str">
        <f>S16 &amp; CHAR(10) &amp; CHAR(10) &amp; D16</f>
        <v>1x1
中文</v>
      </c>
      <c r="HW2" s="79" t="str">
        <f>S17 &amp; CHAR(10) &amp; CHAR(10) &amp; D17</f>
        <v>1x1
中文</v>
      </c>
      <c r="HX2" s="121" t="str">
        <f>S18 &amp; CHAR(10) &amp; CHAR(10) &amp; D18</f>
        <v>1x1
中文</v>
      </c>
      <c r="HY2" s="79" t="str">
        <f>S18 &amp; CHAR(10) &amp; CHAR(10) &amp; D18</f>
        <v>1x1
中文</v>
      </c>
      <c r="HZ2" s="79" t="str">
        <f>S20 &amp; CHAR(10) &amp; CHAR(10) &amp; D20</f>
        <v xml:space="preserve">0
</v>
      </c>
      <c r="IA2" s="79" t="str">
        <f>S26 &amp; CHAR(10) &amp; CHAR(10) &amp; D26</f>
        <v>1x1
中文</v>
      </c>
      <c r="IB2" s="79" t="str">
        <f>S27 &amp; CHAR(10) &amp; CHAR(10) &amp; D27</f>
        <v>1x1
中文</v>
      </c>
      <c r="IC2" s="79" t="str">
        <f>S28 &amp; CHAR(10) &amp; CHAR(10) &amp; D28</f>
        <v>1x1
中文</v>
      </c>
      <c r="ID2" s="79" t="str">
        <f>S29 &amp; CHAR(10) &amp; CHAR(10) &amp; D29</f>
        <v>1x1
中文</v>
      </c>
      <c r="IE2" s="79" t="str">
        <f>S30 &amp; CHAR(10) &amp; CHAR(10) &amp; D30</f>
        <v xml:space="preserve">0
</v>
      </c>
      <c r="IF2" s="79" t="str">
        <f>S31 &amp; CHAR(10) &amp; CHAR(10) &amp; D31</f>
        <v xml:space="preserve">0
</v>
      </c>
      <c r="IG2" s="79" t="str">
        <f>S37 &amp; CHAR(10) &amp; CHAR(10) &amp; D37</f>
        <v>1x1
中文</v>
      </c>
      <c r="IH2" s="79" t="str">
        <f>S38 &amp; CHAR(10) &amp; CHAR(10) &amp; D38</f>
        <v>1x1
中文</v>
      </c>
      <c r="II2" s="79" t="str">
        <f>S39 &amp; CHAR(10) &amp; CHAR(10) &amp; D39</f>
        <v>1x1
中文</v>
      </c>
      <c r="IJ2" s="79" t="str">
        <f>S40 &amp; CHAR(10) &amp; CHAR(10) &amp; D40</f>
        <v>1x1
中文</v>
      </c>
      <c r="IK2" s="79" t="str">
        <f>S41 &amp; CHAR(10) &amp; CHAR(10) &amp; D41</f>
        <v>1x1
中文</v>
      </c>
      <c r="IL2" s="79" t="str">
        <f>S42 &amp; CHAR(10) &amp; CHAR(10) &amp; D42</f>
        <v xml:space="preserve">0
</v>
      </c>
      <c r="IM2" s="79" t="str">
        <f>S48 &amp; CHAR(10) &amp; CHAR(10) &amp; D48</f>
        <v>1x1
中文</v>
      </c>
      <c r="IN2" s="79" t="str">
        <f>S49 &amp; CHAR(10) &amp; CHAR(10) &amp; D49</f>
        <v>1x1
中文</v>
      </c>
      <c r="IO2" s="79" t="str">
        <f>S50 &amp; CHAR(10) &amp; CHAR(10) &amp; D50</f>
        <v>1x1
中文</v>
      </c>
      <c r="IP2" s="79" t="str">
        <f>S51 &amp; CHAR(10) &amp; CHAR(10) &amp; D51</f>
        <v>1x1
中文</v>
      </c>
      <c r="IQ2" s="79" t="str">
        <f>S52 &amp; CHAR(10) &amp; CHAR(10) &amp; D52</f>
        <v xml:space="preserve">0
</v>
      </c>
      <c r="IR2" s="79" t="str">
        <f>S53 &amp; CHAR(10) &amp; CHAR(10) &amp; D53</f>
        <v xml:space="preserve">0
</v>
      </c>
      <c r="JI2" s="34"/>
      <c r="JJ2" s="34"/>
      <c r="JK2" s="34"/>
      <c r="JL2" s="34"/>
      <c r="JM2" s="34"/>
      <c r="JN2" s="34"/>
      <c r="JO2" s="34"/>
      <c r="JP2" s="34"/>
      <c r="JQ2" s="34"/>
      <c r="JR2" s="34"/>
      <c r="JS2" s="34"/>
      <c r="JT2" s="34"/>
      <c r="JU2" s="34"/>
      <c r="JV2" s="34"/>
      <c r="JW2" s="34"/>
      <c r="JX2" s="34"/>
      <c r="JY2" s="34"/>
      <c r="JZ2" s="34"/>
      <c r="KA2" s="34"/>
      <c r="KB2" s="34"/>
      <c r="KC2" s="34"/>
      <c r="KD2" s="34"/>
      <c r="KE2" s="34"/>
      <c r="KF2" s="34"/>
      <c r="KG2" s="34"/>
      <c r="KH2" s="34"/>
      <c r="KI2" s="34"/>
      <c r="KJ2" s="34"/>
      <c r="KK2" s="34"/>
      <c r="KL2" s="34"/>
      <c r="KM2" s="34"/>
      <c r="KN2" s="34"/>
      <c r="KO2" s="34"/>
      <c r="KP2" s="34"/>
      <c r="KQ2" s="34"/>
      <c r="KR2" s="34"/>
      <c r="KS2" s="34"/>
      <c r="KT2" s="34"/>
      <c r="KU2" s="34"/>
      <c r="KV2" s="34"/>
      <c r="KW2" s="34"/>
      <c r="KX2" s="34"/>
      <c r="KY2" s="34"/>
      <c r="KZ2" s="34"/>
    </row>
    <row r="3" spans="1:312">
      <c r="Q3" s="23"/>
    </row>
    <row r="4" spans="1:312">
      <c r="A4" s="73" t="s">
        <v>228</v>
      </c>
      <c r="Q4" s="23"/>
    </row>
    <row r="5" spans="1:312">
      <c r="A5" s="91" t="s">
        <v>0</v>
      </c>
      <c r="B5" s="87" t="s">
        <v>1721</v>
      </c>
      <c r="Q5" s="23"/>
    </row>
    <row r="6" spans="1:312">
      <c r="A6" s="91" t="s">
        <v>1</v>
      </c>
      <c r="B6" s="86" t="s">
        <v>1867</v>
      </c>
      <c r="Q6" s="23"/>
    </row>
    <row r="7" spans="1:312">
      <c r="A7" s="91" t="s">
        <v>2</v>
      </c>
      <c r="B7" s="92">
        <v>46160</v>
      </c>
      <c r="Q7" s="23"/>
    </row>
    <row r="8" spans="1:312">
      <c r="A8" s="91" t="s">
        <v>3</v>
      </c>
      <c r="B8" s="92">
        <v>46163</v>
      </c>
    </row>
    <row r="11" spans="1:312">
      <c r="A11" s="73" t="s">
        <v>229</v>
      </c>
      <c r="L11" t="s">
        <v>1099</v>
      </c>
    </row>
    <row r="12" spans="1:312">
      <c r="A12" s="98" t="s">
        <v>4</v>
      </c>
      <c r="B12" s="95">
        <v>46160</v>
      </c>
    </row>
    <row r="13" spans="1:312">
      <c r="A13" s="99" t="s">
        <v>5</v>
      </c>
      <c r="B13" s="86" t="s">
        <v>1868</v>
      </c>
    </row>
    <row r="14" spans="1:312">
      <c r="A14" s="85" t="s">
        <v>230</v>
      </c>
      <c r="B14" s="85" t="s">
        <v>231</v>
      </c>
      <c r="C14" s="85" t="s">
        <v>232</v>
      </c>
      <c r="D14" s="85" t="s">
        <v>233</v>
      </c>
      <c r="E14" s="100" t="s">
        <v>1111</v>
      </c>
      <c r="F14" s="85" t="s">
        <v>1100</v>
      </c>
      <c r="G14" s="85" t="s">
        <v>1101</v>
      </c>
      <c r="H14" s="85" t="s">
        <v>234</v>
      </c>
      <c r="I14" s="85" t="s">
        <v>235</v>
      </c>
      <c r="J14" s="85" t="s">
        <v>236</v>
      </c>
      <c r="K14" s="85" t="s">
        <v>237</v>
      </c>
      <c r="L14" s="85" t="s">
        <v>238</v>
      </c>
      <c r="M14" s="85" t="s">
        <v>1112</v>
      </c>
      <c r="N14" s="85" t="str">
        <f>"In " &amp;ringfence!A$1&amp; " ringfence?"</f>
        <v>In CMS ringfence?</v>
      </c>
      <c r="O14" s="85" t="str">
        <f>"In " &amp;ringfence!B$1&amp; " ringfence?"</f>
        <v>In 银河 ringfence?</v>
      </c>
      <c r="P14" s="85" t="str">
        <f>"In " &amp;ringfence!C$1&amp; " ringfence?"</f>
        <v>In Bank3 ringfence?</v>
      </c>
      <c r="Q14" s="85" t="str">
        <f>"In " &amp;ringfence!D$1&amp; " ringfence?"</f>
        <v>In Bank4 ringfence?</v>
      </c>
      <c r="R14" s="85" t="str">
        <f>"In " &amp;ringfence!E$1&amp; " ringfence?"</f>
        <v>In Bank5 ringfence?</v>
      </c>
      <c r="S14" s="87" t="s">
        <v>1614</v>
      </c>
      <c r="T14" s="87" t="s">
        <v>1614</v>
      </c>
    </row>
    <row r="15" spans="1:312" ht="85">
      <c r="A15" s="150" t="s">
        <v>1681</v>
      </c>
      <c r="B15" s="88" t="s">
        <v>239</v>
      </c>
      <c r="C15" s="89" t="s">
        <v>240</v>
      </c>
      <c r="D15" s="89" t="s">
        <v>241</v>
      </c>
      <c r="E15" s="94" t="s">
        <v>1962</v>
      </c>
      <c r="F15" s="87" t="str" cm="1">
        <f t="array" ref="F15:G15">IF(E15="","",
_xlfn._xlws.FILTER(
    IF(CompanyName1[]="","",CompanyName1[]),
    (ISNUMBER(SEARCH(E15,CompanyName1[机构名称（英文）]&amp;"")) +
     ISNUMBER(SEARCH(E15,CompanyName1[机构名称（中文）]&amp;"")))&gt;0
))</f>
        <v/>
      </c>
      <c r="G15" s="87" t="str">
        <v>Oasis Management</v>
      </c>
      <c r="H15" s="90" t="str">
        <f>IF(AND($F15="", $G15=""), "",
  _xlfn.IFNA(_xlfn.XLOOKUP($F15, database!$C:$C, database!$I:$I),
  _xlfn.IFNA(_xlfn.XLOOKUP($F15, database!$D:$D, database!$I:$I),
  _xlfn.IFNA(_xlfn.XLOOKUP($G15, database!$C:$C, database!$I:$I),
  _xlfn.IFNA(_xlfn.XLOOKUP($G15, database!$D:$D, database!$I:$I), "")))) &amp; ""
)</f>
        <v>Marvin Tang (基金经理），Richard Guan (研究员）</v>
      </c>
      <c r="I15" s="87" t="str">
        <f>IF(AND($F15="", $G15=""), "",
  _xlfn.IFNA(_xlfn.XLOOKUP($F15, database!$C:$C, database!$J:$J),
  _xlfn.IFNA(_xlfn.XLOOKUP($F15, database!$D:$D, database!$J:$J),
  _xlfn.IFNA(_xlfn.XLOOKUP($G15, database!$C:$C, database!$J:$J),
  _xlfn.IFNA(_xlfn.XLOOKUP($G15, database!$D:$D, database!$J:$J), "")))) &amp; ""
)</f>
        <v/>
      </c>
      <c r="J15" s="87" t="str">
        <f>IF(AND($F15="", $G15=""), "",
  _xlfn.IFNA(_xlfn.XLOOKUP($F15, database!$C:$C, database!$E:$E),
  _xlfn.IFNA(_xlfn.XLOOKUP($F15, database!$D:$D, database!$E:$E),
  _xlfn.IFNA(_xlfn.XLOOKUP($G15, database!$C:$C, database!$E:$E),
  _xlfn.IFNA(_xlfn.XLOOKUP($G15, database!$D:$D, database!$E:$E), ""))))
)</f>
        <v>多策略基金</v>
      </c>
      <c r="K15" s="87" t="str">
        <f>IF(AND($F15="", $G15=""), "",
  _xlfn.IFNA(_xlfn.XLOOKUP($F15, database!$C:$C, database!$K:$K),
  _xlfn.IFNA(_xlfn.XLOOKUP($F15, database!$D:$D, database!$K:$K),
  _xlfn.IFNA(_xlfn.XLOOKUP($G15, database!$C:$C, database!$K:$K),
  _xlfn.IFNA(_xlfn.XLOOKUP($G15, database!$D:$D, database!$K:$K), "")))) &amp; ""
)</f>
        <v>超10亿美元</v>
      </c>
      <c r="L15" s="165" t="str">
        <f>IF(AND($F15="", $G15=""), "",
  _xlfn.IFNA(_xlfn.XLOOKUP($F15, database!$C:$C, database!$F:$F),
  _xlfn.IFNA(_xlfn.XLOOKUP($F15, database!$D:$D, database!$F:$F),
  _xlfn.IFNA(_xlfn.XLOOKUP($G15, database!$C:$C, database!$F:$F),
  _xlfn.IFNA(_xlfn.XLOOKUP($G15, database!$D:$D, database!$F:$F), "")))) &amp; ""
)</f>
        <v>Oasis Management由Seth Fischer于2002年创立并担任首席投资官，团队覆盖香港、东京、奥斯汀及开曼群岛，拥有50多名专业人才，是一家国际投资产管理理公司，总部位于香港，在全球范围内跨各类资本结构开展投资，核心聚焦亚洲市场，采用自下而上的微观机会挖掘策略，充分利用公司强大的定性和定量研究能力与亚洲市场专业知识进行对冲及风险管理。</v>
      </c>
      <c r="M15" s="105" t="str">
        <f>IF(AND($F15="", $G15=""), "",
  _xlfn.IFNA(_xlfn.XLOOKUP($F15, database!$C:$C, database!$G:$G),
  _xlfn.IFNA(_xlfn.XLOOKUP($F15, database!$D:$D, database!$G:$G),
  _xlfn.IFNA(_xlfn.XLOOKUP($G15, database!$C:$C, database!$G:$G),
  _xlfn.IFNA(_xlfn.XLOOKUP($G15, database!$D:$D, database!$G:$G), "")))) &amp; ""
)</f>
        <v/>
      </c>
      <c r="N15" t="str">
        <f>IF(AND($F15="", $G15=""), "",
   IF(OR(
        IF($F15&lt;&gt;"", COUNTIF(ringfence!A$2:A$10000, "*"&amp;$F15&amp;"*"), 0)&gt;0,
        IF($G15&lt;&gt;"", COUNTIF(ringfence!A$2:A$10000, "*"&amp;$G15&amp;"*"), 0)&gt;0
   ),
   "Yes", "No")
)</f>
        <v>No</v>
      </c>
      <c r="O15" t="str">
        <f>IF(AND($F15="", $G15=""), "",
   IF(OR(
        IF($F15&lt;&gt;"", COUNTIF(ringfence!B$2:B$10000, "*"&amp;$F15&amp;"*"), 0)&gt;0,
        IF($G15&lt;&gt;"", COUNTIF(ringfence!B$2:B$10000, "*"&amp;$G15&amp;"*"), 0)&gt;0
   ),
   "Yes", "No")
)</f>
        <v>No</v>
      </c>
      <c r="P15" t="str">
        <f>IF(AND($F15="", $G15=""), "",
   IF(OR(
        IF($F15&lt;&gt;"", COUNTIF(ringfence!C$2:C$10000, "*"&amp;$F15&amp;"*"), 0)&gt;0,
        IF($G15&lt;&gt;"", COUNTIF(ringfence!C$2:C$10000, "*"&amp;$G15&amp;"*"), 0)&gt;0
   ),
   "Yes", "No")
)</f>
        <v>No</v>
      </c>
      <c r="Q15" t="str">
        <f>IF(AND($F15="", $G15=""), "",
   IF(OR(
        IF($F15&lt;&gt;"", COUNTIF(ringfence!D$2:D$10000, "*"&amp;$F15&amp;"*"), 0)&gt;0,
        IF($G15&lt;&gt;"", COUNTIF(ringfence!D$2:D$10000, "*"&amp;$G15&amp;"*"), 0)&gt;0
   ),
   "Yes", "No")
)</f>
        <v>No</v>
      </c>
      <c r="R15" t="str">
        <f>IF(AND($F15="", $G15=""), "",
   IF(OR(
        IF($F15&lt;&gt;"", COUNTIF(ringfence!E$2:E$10000, "*"&amp;$F15&amp;"*"), 0)&gt;0,
        IF($G15&lt;&gt;"", COUNTIF(ringfence!E$2:E$10000, "*"&amp;$G15&amp;"*"), 0)&gt;0
   ),
   "Yes", "No")
)</f>
        <v>No</v>
      </c>
      <c r="S15" t="str" cm="1">
        <f t="array" ref="S15">_xlfn.IFS(
    B15="1对1", "1x1",
    B15="1对2", "1x2",
    B15="小组会议", "小组会议",
    TRUE, B15
)</f>
        <v>1x1</v>
      </c>
      <c r="T15" s="32" t="str">
        <f t="shared" ref="T15:T20" si="0">G15 &amp; CHAR(10) &amp; F15</f>
        <v xml:space="preserve">Oasis Management
</v>
      </c>
      <c r="W15" s="23"/>
      <c r="X15" s="23"/>
      <c r="Y15" s="23"/>
      <c r="Z15" s="23"/>
      <c r="AA15" s="23"/>
      <c r="AB15" s="23"/>
    </row>
    <row r="16" spans="1:312" ht="68">
      <c r="A16" s="87" t="s">
        <v>1869</v>
      </c>
      <c r="B16" s="88" t="s">
        <v>239</v>
      </c>
      <c r="C16" s="89" t="s">
        <v>240</v>
      </c>
      <c r="D16" s="89" t="s">
        <v>241</v>
      </c>
      <c r="E16" s="94" t="s">
        <v>1963</v>
      </c>
      <c r="F16" s="87" t="str" cm="1">
        <f t="array" ref="F16:G16">IF(E16="","",
_xlfn._xlws.FILTER(
    IF(CompanyName1[]="","",CompanyName1[]),
    (ISNUMBER(SEARCH(E16,CompanyName1[机构名称（英文）]&amp;"")) +
     ISNUMBER(SEARCH(E16,CompanyName1[机构名称（中文）]&amp;"")))&gt;0
))</f>
        <v/>
      </c>
      <c r="G16" s="87" t="str">
        <v>Factorial</v>
      </c>
      <c r="H16" s="90" t="str">
        <f>IF(AND($F16="", $G16=""), "",
  _xlfn.IFNA(_xlfn.XLOOKUP($F16, database!$C:$C, database!$I:$I),
  _xlfn.IFNA(_xlfn.XLOOKUP($F16, database!$D:$D, database!$I:$I),
  _xlfn.IFNA(_xlfn.XLOOKUP($G16, database!$C:$C, database!$I:$I),
  _xlfn.IFNA(_xlfn.XLOOKUP($G16, database!$D:$D, database!$I:$I), "")))) &amp; ""
)</f>
        <v>Kyle Chan（投资经理）</v>
      </c>
      <c r="I16" s="87" t="str">
        <f>IF(AND($F16="", $G16=""), "",
  _xlfn.IFNA(_xlfn.XLOOKUP($F16, database!$C:$C, database!$J:$J),
  _xlfn.IFNA(_xlfn.XLOOKUP($F16, database!$D:$D, database!$J:$J),
  _xlfn.IFNA(_xlfn.XLOOKUP($G16, database!$C:$C, database!$J:$J),
  _xlfn.IFNA(_xlfn.XLOOKUP($G16, database!$D:$D, database!$J:$J), "")))) &amp; ""
)</f>
        <v>中环安庆台1号安庆大厦12楼</v>
      </c>
      <c r="J16" s="87" t="str">
        <f>IF(AND($F16="", $G16=""), "",
  _xlfn.IFNA(_xlfn.XLOOKUP($F16, database!$C:$C, database!$E:$E),
  _xlfn.IFNA(_xlfn.XLOOKUP($F16, database!$D:$D, database!$E:$E),
  _xlfn.IFNA(_xlfn.XLOOKUP($G16, database!$C:$C, database!$E:$E),
  _xlfn.IFNA(_xlfn.XLOOKUP($G16, database!$D:$D, database!$E:$E), ""))))
)</f>
        <v>多策略基金</v>
      </c>
      <c r="K16" s="87" t="str">
        <f>IF(AND($F16="", $G16=""), "",
  _xlfn.IFNA(_xlfn.XLOOKUP($F16, database!$C:$C, database!$K:$K),
  _xlfn.IFNA(_xlfn.XLOOKUP($F16, database!$D:$D, database!$K:$K),
  _xlfn.IFNA(_xlfn.XLOOKUP($G16, database!$C:$C, database!$K:$K),
  _xlfn.IFNA(_xlfn.XLOOKUP($G16, database!$D:$D, database!$K:$K), "")))) &amp; ""
)</f>
        <v>20亿美元</v>
      </c>
      <c r="L16" s="165" t="str">
        <f>IF(AND($F16="", $G16=""), "",
  _xlfn.IFNA(_xlfn.XLOOKUP($F16, database!$C:$C, database!$F:$F),
  _xlfn.IFNA(_xlfn.XLOOKUP($F16, database!$D:$D, database!$F:$F),
  _xlfn.IFNA(_xlfn.XLOOKUP($G16, database!$C:$C, database!$F:$F),
  _xlfn.IFNA(_xlfn.XLOOKUP($G16, database!$D:$D, database!$F:$F), "")))) &amp; ""
)</f>
        <v>Factorial是一家总部位于香港的对冲基金管理公司，由Barun Agarwal于2011年创立，专注于泛亚洲多策略投资，以长期稳定收益为核心目标，强调市场调研和行业研究等投资逻辑，偏爱有清晰增长潜力的优质标的。以多空股票策略为主，结合事件驱动与宏观对冲，重点捕捉亚太地区的结构性机会</v>
      </c>
      <c r="M16" s="105" t="str">
        <f>IF(AND($F16="", $G16=""), "",
  _xlfn.IFNA(_xlfn.XLOOKUP($F16, database!$C:$C, database!$G:$G),
  _xlfn.IFNA(_xlfn.XLOOKUP($F16, database!$D:$D, database!$G:$G),
  _xlfn.IFNA(_xlfn.XLOOKUP($G16, database!$C:$C, database!$G:$G),
  _xlfn.IFNA(_xlfn.XLOOKUP($G16, database!$D:$D, database!$G:$G), "")))) &amp; ""
)</f>
        <v>迅策</v>
      </c>
      <c r="N16" t="str">
        <f>IF(AND($F16="", $G16=""), "",
   IF(OR(
        IF($F16&lt;&gt;"", COUNTIF(ringfence!A$2:A$10000, "*"&amp;$F16&amp;"*"), 0)&gt;0,
        IF($G16&lt;&gt;"", COUNTIF(ringfence!A$2:A$10000, "*"&amp;$G16&amp;"*"), 0)&gt;0
   ),
   "Yes", "No")
)</f>
        <v>No</v>
      </c>
      <c r="O16" t="str">
        <f>IF(AND($F16="", $G16=""), "",
   IF(OR(
        IF($F16&lt;&gt;"", COUNTIF(ringfence!B$2:B$10000, "*"&amp;$F16&amp;"*"), 0)&gt;0,
        IF($G16&lt;&gt;"", COUNTIF(ringfence!B$2:B$10000, "*"&amp;$G16&amp;"*"), 0)&gt;0
   ),
   "Yes", "No")
)</f>
        <v>No</v>
      </c>
      <c r="P16" t="str">
        <f>IF(AND($F16="", $G16=""), "",
   IF(OR(
        IF($F16&lt;&gt;"", COUNTIF(ringfence!C$2:C$10000, "*"&amp;$F16&amp;"*"), 0)&gt;0,
        IF($G16&lt;&gt;"", COUNTIF(ringfence!C$2:C$10000, "*"&amp;$G16&amp;"*"), 0)&gt;0
   ),
   "Yes", "No")
)</f>
        <v>No</v>
      </c>
      <c r="Q16" t="str">
        <f>IF(AND($F16="", $G16=""), "",
   IF(OR(
        IF($F16&lt;&gt;"", COUNTIF(ringfence!D$2:D$10000, "*"&amp;$F16&amp;"*"), 0)&gt;0,
        IF($G16&lt;&gt;"", COUNTIF(ringfence!D$2:D$10000, "*"&amp;$G16&amp;"*"), 0)&gt;0
   ),
   "Yes", "No")
)</f>
        <v>No</v>
      </c>
      <c r="R16" t="str">
        <f>IF(AND($F16="", $G16=""), "",
   IF(OR(
        IF($F16&lt;&gt;"", COUNTIF(ringfence!E$2:E$10000, "*"&amp;$F16&amp;"*"), 0)&gt;0,
        IF($G16&lt;&gt;"", COUNTIF(ringfence!E$2:E$10000, "*"&amp;$G16&amp;"*"), 0)&gt;0
   ),
   "Yes", "No")
)</f>
        <v>No</v>
      </c>
      <c r="S16" t="str" cm="1">
        <f t="array" ref="S16">_xlfn.IFS(
    B16="1对1", "1x1",
    B16="1对2", "1x2",
    B16="小组会议", "小组会议",
    TRUE, B16
)</f>
        <v>1x1</v>
      </c>
      <c r="T16" s="32" t="str">
        <f t="shared" si="0"/>
        <v xml:space="preserve">Factorial
</v>
      </c>
    </row>
    <row r="17" spans="1:20" ht="68">
      <c r="A17" s="150" t="s">
        <v>244</v>
      </c>
      <c r="B17" s="88" t="s">
        <v>239</v>
      </c>
      <c r="C17" s="89" t="s">
        <v>240</v>
      </c>
      <c r="D17" s="89" t="s">
        <v>241</v>
      </c>
      <c r="E17" s="94" t="s">
        <v>354</v>
      </c>
      <c r="F17" s="87" t="str" cm="1">
        <f t="array" ref="F17:G17">IF(E17="","",
_xlfn._xlws.FILTER(
    IF(CompanyName1[]="","",CompanyName1[]),
    (ISNUMBER(SEARCH(E17,CompanyName1[机构名称（英文）]&amp;"")) +
     ISNUMBER(SEARCH(E17,CompanyName1[机构名称（中文）]&amp;"")))&gt;0
))</f>
        <v>易亚投资</v>
      </c>
      <c r="G17" s="87" t="str">
        <v>EIP</v>
      </c>
      <c r="H17" s="90" t="str">
        <f>IF(AND($F17="", $G17=""), "",
  _xlfn.IFNA(_xlfn.XLOOKUP($F17, database!$C:$C, database!$I:$I),
  _xlfn.IFNA(_xlfn.XLOOKUP($F17, database!$D:$D, database!$I:$I),
  _xlfn.IFNA(_xlfn.XLOOKUP($G17, database!$C:$C, database!$I:$I),
  _xlfn.IFNA(_xlfn.XLOOKUP($G17, database!$D:$D, database!$I:$I), "")))) &amp; ""
)</f>
        <v>Jason Jiang
（基金经理）
Gin Tian
（投资经理）</v>
      </c>
      <c r="I17" s="87" t="str">
        <f>IF(AND($F17="", $G17=""), "",
  _xlfn.IFNA(_xlfn.XLOOKUP($F17, database!$C:$C, database!$J:$J),
  _xlfn.IFNA(_xlfn.XLOOKUP($F17, database!$D:$D, database!$J:$J),
  _xlfn.IFNA(_xlfn.XLOOKUP($G17, database!$C:$C, database!$J:$J),
  _xlfn.IFNA(_xlfn.XLOOKUP($G17, database!$D:$D, database!$J:$J), "")))) &amp; ""
)</f>
        <v>中环雪厂街10号新显利大厦337室</v>
      </c>
      <c r="J17" s="87" t="str">
        <f>IF(AND($F17="", $G17=""), "",
  _xlfn.IFNA(_xlfn.XLOOKUP($F17, database!$C:$C, database!$E:$E),
  _xlfn.IFNA(_xlfn.XLOOKUP($F17, database!$D:$D, database!$E:$E),
  _xlfn.IFNA(_xlfn.XLOOKUP($G17, database!$C:$C, database!$E:$E),
  _xlfn.IFNA(_xlfn.XLOOKUP($G17, database!$D:$D, database!$E:$E), ""))))
)</f>
        <v>多策略基金</v>
      </c>
      <c r="K17" s="87" t="str">
        <f>IF(AND($F17="", $G17=""), "",
  _xlfn.IFNA(_xlfn.XLOOKUP($F17, database!$C:$C, database!$K:$K),
  _xlfn.IFNA(_xlfn.XLOOKUP($F17, database!$D:$D, database!$K:$K),
  _xlfn.IFNA(_xlfn.XLOOKUP($G17, database!$C:$C, database!$K:$K),
  _xlfn.IFNA(_xlfn.XLOOKUP($G17, database!$D:$D, database!$K:$K), "")))) &amp; ""
)</f>
        <v>40亿美元</v>
      </c>
      <c r="L17" s="165" t="str">
        <f>IF(AND($F17="", $G17=""), "",
  _xlfn.IFNA(_xlfn.XLOOKUP($F17, database!$C:$C, database!$F:$F),
  _xlfn.IFNA(_xlfn.XLOOKUP($F17, database!$D:$D, database!$F:$F),
  _xlfn.IFNA(_xlfn.XLOOKUP($G17, database!$C:$C, database!$F:$F),
  _xlfn.IFNA(_xlfn.XLOOKUP($G17, database!$D:$D, database!$F:$F), "")))) &amp; ""
)</f>
        <v>易亚投资（EIP）成立于2002年，总部位于香港，专注于亚太地区的投资机会。EIP主要聚焦亚太地区高流动性市场（如港股、A股互联互通标的）及结构性衍生品（如期权、期货套利），并涉足区域新兴市场的量化策略开发，尤其在波动率管理和事件驱动型交易中展现优势。其资产管理规模超40亿美元</v>
      </c>
      <c r="M17" s="105" t="str">
        <f>IF(AND($F17="", $G17=""), "",
  _xlfn.IFNA(_xlfn.XLOOKUP($F17, database!$C:$C, database!$G:$G),
  _xlfn.IFNA(_xlfn.XLOOKUP($F17, database!$D:$D, database!$G:$G),
  _xlfn.IFNA(_xlfn.XLOOKUP($G17, database!$C:$C, database!$G:$G),
  _xlfn.IFNA(_xlfn.XLOOKUP($G17, database!$D:$D, database!$G:$G), "")))) &amp; ""
)</f>
        <v>壁仞科技</v>
      </c>
      <c r="N17" t="str">
        <f>IF(AND($F17="", $G17=""), "",
   IF(OR(
        IF($F17&lt;&gt;"", COUNTIF(ringfence!A$2:A$10000, "*"&amp;$F17&amp;"*"), 0)&gt;0,
        IF($G17&lt;&gt;"", COUNTIF(ringfence!A$2:A$10000, "*"&amp;$G17&amp;"*"), 0)&gt;0
   ),
   "Yes", "No")
)</f>
        <v>No</v>
      </c>
      <c r="O17" t="str">
        <f>IF(AND($F17="", $G17=""), "",
   IF(OR(
        IF($F17&lt;&gt;"", COUNTIF(ringfence!B$2:B$10000, "*"&amp;$F17&amp;"*"), 0)&gt;0,
        IF($G17&lt;&gt;"", COUNTIF(ringfence!B$2:B$10000, "*"&amp;$G17&amp;"*"), 0)&gt;0
   ),
   "Yes", "No")
)</f>
        <v>No</v>
      </c>
      <c r="P17" t="str">
        <f>IF(AND($F17="", $G17=""), "",
   IF(OR(
        IF($F17&lt;&gt;"", COUNTIF(ringfence!C$2:C$10000, "*"&amp;$F17&amp;"*"), 0)&gt;0,
        IF($G17&lt;&gt;"", COUNTIF(ringfence!C$2:C$10000, "*"&amp;$G17&amp;"*"), 0)&gt;0
   ),
   "Yes", "No")
)</f>
        <v>No</v>
      </c>
      <c r="Q17" t="str">
        <f>IF(AND($F17="", $G17=""), "",
   IF(OR(
        IF($F17&lt;&gt;"", COUNTIF(ringfence!D$2:D$10000, "*"&amp;$F17&amp;"*"), 0)&gt;0,
        IF($G17&lt;&gt;"", COUNTIF(ringfence!D$2:D$10000, "*"&amp;$G17&amp;"*"), 0)&gt;0
   ),
   "Yes", "No")
)</f>
        <v>No</v>
      </c>
      <c r="R17" t="str">
        <f>IF(AND($F17="", $G17=""), "",
   IF(OR(
        IF($F17&lt;&gt;"", COUNTIF(ringfence!E$2:E$10000, "*"&amp;$F17&amp;"*"), 0)&gt;0,
        IF($G17&lt;&gt;"", COUNTIF(ringfence!E$2:E$10000, "*"&amp;$G17&amp;"*"), 0)&gt;0
   ),
   "Yes", "No")
)</f>
        <v>No</v>
      </c>
      <c r="S17" t="str" cm="1">
        <f t="array" ref="S17">_xlfn.IFS(
    B17="1对1", "1x1",
    B17="1对2", "1x2",
    B17="小组会议", "小组会议",
    TRUE, B17
)</f>
        <v>1x1</v>
      </c>
      <c r="T17" s="32" t="str">
        <f t="shared" si="0"/>
        <v>EIP
易亚投资</v>
      </c>
    </row>
    <row r="18" spans="1:20" ht="102">
      <c r="A18" s="150" t="s">
        <v>246</v>
      </c>
      <c r="B18" s="88" t="s">
        <v>239</v>
      </c>
      <c r="C18" s="89" t="s">
        <v>240</v>
      </c>
      <c r="D18" s="89" t="s">
        <v>241</v>
      </c>
      <c r="E18" s="94" t="s">
        <v>445</v>
      </c>
      <c r="F18" s="87" t="str" cm="1">
        <f t="array" ref="F18:G18">IF(E18="","",
_xlfn._xlws.FILTER(
    IF(CompanyName1[]="","",CompanyName1[]),
    (ISNUMBER(SEARCH(E18,CompanyName1[机构名称（英文）]&amp;"")) +
     ISNUMBER(SEARCH(E18,CompanyName1[机构名称（中文）]&amp;"")))&gt;0
))</f>
        <v/>
      </c>
      <c r="G18" s="87" t="str">
        <v>Matrix Capital</v>
      </c>
      <c r="H18" s="90" t="str">
        <f>IF(AND($F18="", $G18=""), "",
  _xlfn.IFNA(_xlfn.XLOOKUP($F18, database!$C:$C, database!$I:$I),
  _xlfn.IFNA(_xlfn.XLOOKUP($F18, database!$D:$D, database!$I:$I),
  _xlfn.IFNA(_xlfn.XLOOKUP($G18, database!$C:$C, database!$I:$I),
  _xlfn.IFNA(_xlfn.XLOOKUP($G18, database!$D:$D, database!$I:$I), "")))) &amp; ""
)</f>
        <v>宋奇（基金经理）</v>
      </c>
      <c r="I18" s="87" t="str">
        <f>IF(AND($F18="", $G18=""), "",
  _xlfn.IFNA(_xlfn.XLOOKUP($F18, database!$C:$C, database!$J:$J),
  _xlfn.IFNA(_xlfn.XLOOKUP($F18, database!$D:$D, database!$J:$J),
  _xlfn.IFNA(_xlfn.XLOOKUP($G18, database!$C:$C, database!$J:$J),
  _xlfn.IFNA(_xlfn.XLOOKUP($G18, database!$D:$D, database!$J:$J), "")))) &amp; ""
)</f>
        <v/>
      </c>
      <c r="J18" s="87" t="str">
        <f>IF(AND($F18="", $G18=""), "",
  _xlfn.IFNA(_xlfn.XLOOKUP($F18, database!$C:$C, database!$E:$E),
  _xlfn.IFNA(_xlfn.XLOOKUP($F18, database!$D:$D, database!$E:$E),
  _xlfn.IFNA(_xlfn.XLOOKUP($G18, database!$C:$C, database!$E:$E),
  _xlfn.IFNA(_xlfn.XLOOKUP($G18, database!$D:$D, database!$E:$E), ""))))
)</f>
        <v>私募股权</v>
      </c>
      <c r="K18" s="87" t="str">
        <f>IF(AND($F18="", $G18=""), "",
  _xlfn.IFNA(_xlfn.XLOOKUP($F18, database!$C:$C, database!$K:$K),
  _xlfn.IFNA(_xlfn.XLOOKUP($F18, database!$D:$D, database!$K:$K),
  _xlfn.IFNA(_xlfn.XLOOKUP($G18, database!$C:$C, database!$K:$K),
  _xlfn.IFNA(_xlfn.XLOOKUP($G18, database!$D:$D, database!$K:$K), "")))) &amp; ""
)</f>
        <v/>
      </c>
      <c r="L18" s="165" t="str">
        <f>IF(AND($F18="", $G18=""), "",
  _xlfn.IFNA(_xlfn.XLOOKUP($F18, database!$C:$C, database!$F:$F),
  _xlfn.IFNA(_xlfn.XLOOKUP($F18, database!$D:$D, database!$F:$F),
  _xlfn.IFNA(_xlfn.XLOOKUP($G18, database!$C:$C, database!$F:$F),
  _xlfn.IFNA(_xlfn.XLOOKUP($G18, database!$D:$D, database!$F:$F), "")))) &amp; ""
)</f>
        <v>Matrix Capital以自有资金及所管理的股权基金为依托，聚焦大中华区具有长期增长潜力、行业领头地位及独特竞争优势的企业，核心投资领域涵盖高科技、新经济、医疗健康及大消费等行业。作为投资人，其近期在港股 IPO 市场表现活跃，重点关注新经济、大消费等领域，并参与了多个项目的锚定投资。其资产管理规模约10亿美元</v>
      </c>
      <c r="M18" s="105" t="str">
        <f>IF(AND($F18="", $G18=""), "",
  _xlfn.IFNA(_xlfn.XLOOKUP($F18, database!$C:$C, database!$G:$G),
  _xlfn.IFNA(_xlfn.XLOOKUP($F18, database!$D:$D, database!$G:$G),
  _xlfn.IFNA(_xlfn.XLOOKUP($G18, database!$C:$C, database!$G:$G),
  _xlfn.IFNA(_xlfn.XLOOKUP($G18, database!$D:$D, database!$G:$G), "")))) &amp; ""
)</f>
        <v>梦金园</v>
      </c>
      <c r="N18" t="str">
        <f>IF(AND($F18="", $G18=""), "",
   IF(OR(
        IF($F18&lt;&gt;"", COUNTIF(ringfence!A$2:A$10000, "*"&amp;$F18&amp;"*"), 0)&gt;0,
        IF($G18&lt;&gt;"", COUNTIF(ringfence!A$2:A$10000, "*"&amp;$G18&amp;"*"), 0)&gt;0
   ),
   "Yes", "No")
)</f>
        <v>No</v>
      </c>
      <c r="O18" t="str">
        <f>IF(AND($F18="", $G18=""), "",
   IF(OR(
        IF($F18&lt;&gt;"", COUNTIF(ringfence!B$2:B$10000, "*"&amp;$F18&amp;"*"), 0)&gt;0,
        IF($G18&lt;&gt;"", COUNTIF(ringfence!B$2:B$10000, "*"&amp;$G18&amp;"*"), 0)&gt;0
   ),
   "Yes", "No")
)</f>
        <v>No</v>
      </c>
      <c r="P18" t="str">
        <f>IF(AND($F18="", $G18=""), "",
   IF(OR(
        IF($F18&lt;&gt;"", COUNTIF(ringfence!C$2:C$10000, "*"&amp;$F18&amp;"*"), 0)&gt;0,
        IF($G18&lt;&gt;"", COUNTIF(ringfence!C$2:C$10000, "*"&amp;$G18&amp;"*"), 0)&gt;0
   ),
   "Yes", "No")
)</f>
        <v>No</v>
      </c>
      <c r="Q18" t="str">
        <f>IF(AND($F18="", $G18=""), "",
   IF(OR(
        IF($F18&lt;&gt;"", COUNTIF(ringfence!D$2:D$10000, "*"&amp;$F18&amp;"*"), 0)&gt;0,
        IF($G18&lt;&gt;"", COUNTIF(ringfence!D$2:D$10000, "*"&amp;$G18&amp;"*"), 0)&gt;0
   ),
   "Yes", "No")
)</f>
        <v>No</v>
      </c>
      <c r="R18" t="str">
        <f>IF(AND($F18="", $G18=""), "",
   IF(OR(
        IF($F18&lt;&gt;"", COUNTIF(ringfence!E$2:E$10000, "*"&amp;$F18&amp;"*"), 0)&gt;0,
        IF($G18&lt;&gt;"", COUNTIF(ringfence!E$2:E$10000, "*"&amp;$G18&amp;"*"), 0)&gt;0
   ),
   "Yes", "No")
)</f>
        <v>No</v>
      </c>
      <c r="S18" t="str" cm="1">
        <f t="array" ref="S18">_xlfn.IFS(
    B18="1对1", "1x1",
    B18="1对2", "1x2",
    B18="小组会议", "小组会议",
    TRUE, B18
)</f>
        <v>1x1</v>
      </c>
      <c r="T18" s="32" t="str">
        <f t="shared" si="0"/>
        <v xml:space="preserve">Matrix Capital
</v>
      </c>
    </row>
    <row r="19" spans="1:20" ht="85">
      <c r="A19" s="87" t="s">
        <v>248</v>
      </c>
      <c r="B19" s="88" t="s">
        <v>239</v>
      </c>
      <c r="C19" s="89" t="s">
        <v>240</v>
      </c>
      <c r="D19" s="89" t="s">
        <v>241</v>
      </c>
      <c r="E19" s="94" t="s">
        <v>1964</v>
      </c>
      <c r="F19" s="87" t="str" cm="1">
        <f t="array" ref="F19:G19">IF(E19="","",
_xlfn._xlws.FILTER(
    IF(CompanyName1[]="","",CompanyName1[]),
    (ISNUMBER(SEARCH(E19,CompanyName1[机构名称（英文）]&amp;"")) +
     ISNUMBER(SEARCH(E19,CompanyName1[机构名称（中文）]&amp;"")))&gt;0
))</f>
        <v/>
      </c>
      <c r="G19" s="87" t="str">
        <v>Citadel</v>
      </c>
      <c r="H19" s="90" t="str">
        <f>IF(AND($F19="", $G19=""), "",
  _xlfn.IFNA(_xlfn.XLOOKUP($F19, database!$C:$C, database!$I:$I),
  _xlfn.IFNA(_xlfn.XLOOKUP($F19, database!$D:$D, database!$I:$I),
  _xlfn.IFNA(_xlfn.XLOOKUP($G19, database!$C:$C, database!$I:$I),
  _xlfn.IFNA(_xlfn.XLOOKUP($G19, database!$D:$D, database!$I:$I), "")))) &amp; ""
)</f>
        <v>Julia Tsai（分析师）</v>
      </c>
      <c r="I19" s="87" t="str">
        <f>IF(AND($F19="", $G19=""), "",
  _xlfn.IFNA(_xlfn.XLOOKUP($F19, database!$C:$C, database!$J:$J),
  _xlfn.IFNA(_xlfn.XLOOKUP($F19, database!$D:$D, database!$J:$J),
  _xlfn.IFNA(_xlfn.XLOOKUP($G19, database!$C:$C, database!$J:$J),
  _xlfn.IFNA(_xlfn.XLOOKUP($G19, database!$D:$D, database!$J:$J), "")))) &amp; ""
)</f>
        <v/>
      </c>
      <c r="J19" s="87" t="str">
        <f>IF(AND($F19="", $G19=""), "",
  _xlfn.IFNA(_xlfn.XLOOKUP($F19, database!$C:$C, database!$E:$E),
  _xlfn.IFNA(_xlfn.XLOOKUP($F19, database!$D:$D, database!$E:$E),
  _xlfn.IFNA(_xlfn.XLOOKUP($G19, database!$C:$C, database!$E:$E),
  _xlfn.IFNA(_xlfn.XLOOKUP($G19, database!$D:$D, database!$E:$E), ""))))
)</f>
        <v>多策略基金</v>
      </c>
      <c r="K19" s="87" t="str">
        <f>IF(AND($F19="", $G19=""), "",
  _xlfn.IFNA(_xlfn.XLOOKUP($F19, database!$C:$C, database!$K:$K),
  _xlfn.IFNA(_xlfn.XLOOKUP($F19, database!$D:$D, database!$K:$K),
  _xlfn.IFNA(_xlfn.XLOOKUP($G19, database!$C:$C, database!$K:$K),
  _xlfn.IFNA(_xlfn.XLOOKUP($G19, database!$D:$D, database!$K:$K), "")))) &amp; ""
)</f>
        <v/>
      </c>
      <c r="L19" s="165" t="str">
        <f>IF(AND($F19="", $G19=""), "",
  _xlfn.IFNA(_xlfn.XLOOKUP($F19, database!$C:$C, database!$F:$F),
  _xlfn.IFNA(_xlfn.XLOOKUP($F19, database!$D:$D, database!$F:$F),
  _xlfn.IFNA(_xlfn.XLOOKUP($G19, database!$C:$C, database!$F:$F),
  _xlfn.IFNA(_xlfn.XLOOKUP($G19, database!$D:$D, database!$F:$F), "")))) &amp; ""
)</f>
        <v>Citadel是一家美国的多策略另类投资产管理公司，投资策略主要基于基本面分析和计量金融分析，投资业务分布在北美、欧洲、亚洲等地。公司拥有来自全球各地背景的投资专家，从业经验丰富，擅长从实时变化的市场中及时发现投资机会。Citadel在多空策略、全球宏观策略等基础上不断探索多样化投资方式，旨在审慎把控分散风险的同时为客户提供长期绝对回报。其管理资产规模为690亿美元</v>
      </c>
      <c r="M19" s="105" t="str">
        <f>IF(AND($F19="", $G19=""), "",
  _xlfn.IFNA(_xlfn.XLOOKUP($F19, database!$C:$C, database!$G:$G),
  _xlfn.IFNA(_xlfn.XLOOKUP($F19, database!$D:$D, database!$G:$G),
  _xlfn.IFNA(_xlfn.XLOOKUP($G19, database!$C:$C, database!$G:$G),
  _xlfn.IFNA(_xlfn.XLOOKUP($G19, database!$D:$D, database!$G:$G), "")))) &amp; ""
)</f>
        <v>云顶新耀-B</v>
      </c>
      <c r="N19" t="str">
        <f>IF(AND($F19="", $G19=""), "",
   IF(OR(
        IF($F19&lt;&gt;"", COUNTIF(ringfence!A$2:A$10000, "*"&amp;$F19&amp;"*"), 0)&gt;0,
        IF($G19&lt;&gt;"", COUNTIF(ringfence!A$2:A$10000, "*"&amp;$G19&amp;"*"), 0)&gt;0
   ),
   "Yes", "No")
)</f>
        <v>No</v>
      </c>
      <c r="O19" t="str">
        <f>IF(AND($F19="", $G19=""), "",
   IF(OR(
        IF($F19&lt;&gt;"", COUNTIF(ringfence!B$2:B$10000, "*"&amp;$F19&amp;"*"), 0)&gt;0,
        IF($G19&lt;&gt;"", COUNTIF(ringfence!B$2:B$10000, "*"&amp;$G19&amp;"*"), 0)&gt;0
   ),
   "Yes", "No")
)</f>
        <v>No</v>
      </c>
      <c r="P19" t="str">
        <f>IF(AND($F19="", $G19=""), "",
   IF(OR(
        IF($F19&lt;&gt;"", COUNTIF(ringfence!C$2:C$10000, "*"&amp;$F19&amp;"*"), 0)&gt;0,
        IF($G19&lt;&gt;"", COUNTIF(ringfence!C$2:C$10000, "*"&amp;$G19&amp;"*"), 0)&gt;0
   ),
   "Yes", "No")
)</f>
        <v>No</v>
      </c>
      <c r="Q19" t="str">
        <f>IF(AND($F19="", $G19=""), "",
   IF(OR(
        IF($F19&lt;&gt;"", COUNTIF(ringfence!D$2:D$10000, "*"&amp;$F19&amp;"*"), 0)&gt;0,
        IF($G19&lt;&gt;"", COUNTIF(ringfence!D$2:D$10000, "*"&amp;$G19&amp;"*"), 0)&gt;0
   ),
   "Yes", "No")
)</f>
        <v>No</v>
      </c>
      <c r="R19" t="str">
        <f>IF(AND($F19="", $G19=""), "",
   IF(OR(
        IF($F19&lt;&gt;"", COUNTIF(ringfence!E$2:E$10000, "*"&amp;$F19&amp;"*"), 0)&gt;0,
        IF($G19&lt;&gt;"", COUNTIF(ringfence!E$2:E$10000, "*"&amp;$G19&amp;"*"), 0)&gt;0
   ),
   "Yes", "No")
)</f>
        <v>No</v>
      </c>
      <c r="S19" t="str" cm="1">
        <f t="array" ref="S19">_xlfn.IFS(
    B19="1对1", "1x1",
    B19="1对2", "1x2",
    B19="小组会议", "小组会议",
    TRUE, B19
)</f>
        <v>1x1</v>
      </c>
      <c r="T19" s="32" t="str">
        <f t="shared" si="0"/>
        <v xml:space="preserve">Citadel
</v>
      </c>
    </row>
    <row r="20" spans="1:20" ht="85">
      <c r="A20" s="87"/>
      <c r="B20" s="88"/>
      <c r="C20" s="89"/>
      <c r="D20" s="89"/>
      <c r="E20" s="94" t="s">
        <v>1319</v>
      </c>
      <c r="F20" s="87" t="str" cm="1">
        <f t="array" ref="F20:G20">IF(E20="","",
_xlfn._xlws.FILTER(
    IF(CompanyName1[]="","",CompanyName1[]),
    (ISNUMBER(SEARCH(E20,CompanyName1[机构名称（英文）]&amp;"")) +
     ISNUMBER(SEARCH(E20,CompanyName1[机构名称（中文）]&amp;"")))&gt;0
))</f>
        <v/>
      </c>
      <c r="G20" s="87" t="str">
        <v>Monashee</v>
      </c>
      <c r="H20" s="90" t="str">
        <f>IF(AND($F20="", $G20=""), "",
  _xlfn.IFNA(_xlfn.XLOOKUP($F20, database!$C:$C, database!$I:$I),
  _xlfn.IFNA(_xlfn.XLOOKUP($F20, database!$D:$D, database!$I:$I),
  _xlfn.IFNA(_xlfn.XLOOKUP($G20, database!$C:$C, database!$I:$I),
  _xlfn.IFNA(_xlfn.XLOOKUP($G20, database!$D:$D, database!$I:$I), "")))) &amp; ""
)</f>
        <v>Andy Scott
（亚太资本市场负责人，基金经理）
Dave Yin
（投资分析师）</v>
      </c>
      <c r="I20" s="87" t="str">
        <f>IF(AND($F20="", $G20=""), "",
  _xlfn.IFNA(_xlfn.XLOOKUP($F20, database!$C:$C, database!$J:$J),
  _xlfn.IFNA(_xlfn.XLOOKUP($F20, database!$D:$D, database!$J:$J),
  _xlfn.IFNA(_xlfn.XLOOKUP($G20, database!$C:$C, database!$J:$J),
  _xlfn.IFNA(_xlfn.XLOOKUP($G20, database!$D:$D, database!$J:$J), "")))) &amp; ""
)</f>
        <v/>
      </c>
      <c r="J20" s="87" t="str">
        <f>IF(AND($F20="", $G20=""), "",
  _xlfn.IFNA(_xlfn.XLOOKUP($F20, database!$C:$C, database!$E:$E),
  _xlfn.IFNA(_xlfn.XLOOKUP($F20, database!$D:$D, database!$E:$E),
  _xlfn.IFNA(_xlfn.XLOOKUP($G20, database!$C:$C, database!$E:$E),
  _xlfn.IFNA(_xlfn.XLOOKUP($G20, database!$D:$D, database!$E:$E), ""))))
)</f>
        <v>多策略基金</v>
      </c>
      <c r="K20" s="87" t="str">
        <f>IF(AND($F20="", $G20=""), "",
  _xlfn.IFNA(_xlfn.XLOOKUP($F20, database!$C:$C, database!$K:$K),
  _xlfn.IFNA(_xlfn.XLOOKUP($F20, database!$D:$D, database!$K:$K),
  _xlfn.IFNA(_xlfn.XLOOKUP($G20, database!$C:$C, database!$K:$K),
  _xlfn.IFNA(_xlfn.XLOOKUP($G20, database!$D:$D, database!$K:$K), "")))) &amp; ""
)</f>
        <v/>
      </c>
      <c r="L20" s="165" t="str">
        <f>IF(AND($F20="", $G20=""), "",
  _xlfn.IFNA(_xlfn.XLOOKUP($F20, database!$C:$C, database!$F:$F),
  _xlfn.IFNA(_xlfn.XLOOKUP($F20, database!$D:$D, database!$F:$F),
  _xlfn.IFNA(_xlfn.XLOOKUP($G20, database!$C:$C, database!$F:$F),
  _xlfn.IFNA(_xlfn.XLOOKUP($G20, database!$D:$D, database!$F:$F), "")))) &amp; ""
)</f>
        <v>Monashee是一家总部位于美国波士顿的投资顾问机构。公 司成立于 2011 年，为机构客户、家族办公室及高净值个人提供涵盖多种策略的投资产管理 理服务。截至 2025 年 6 月 30 日，公司管理资产规模超过 19 亿美元。公司投资核心在 于通过深入的基本面研究与多元化的全球投资组合构建来创造可持续的长期回报</v>
      </c>
      <c r="M20" s="105" t="str">
        <f>IF(AND($F20="", $G20=""), "",
  _xlfn.IFNA(_xlfn.XLOOKUP($F20, database!$C:$C, database!$G:$G),
  _xlfn.IFNA(_xlfn.XLOOKUP($F20, database!$D:$D, database!$G:$G),
  _xlfn.IFNA(_xlfn.XLOOKUP($G20, database!$C:$C, database!$G:$G),
  _xlfn.IFNA(_xlfn.XLOOKUP($G20, database!$D:$D, database!$G:$G), "")))) &amp; ""
)</f>
        <v/>
      </c>
      <c r="N20" t="str">
        <f>IF(AND($F20="", $G20=""), "",
   IF(OR(
        IF($F20&lt;&gt;"", COUNTIF(ringfence!A$2:A$10000, "*"&amp;$F20&amp;"*"), 0)&gt;0,
        IF($G20&lt;&gt;"", COUNTIF(ringfence!A$2:A$10000, "*"&amp;$G20&amp;"*"), 0)&gt;0
   ),
   "Yes", "No")
)</f>
        <v>No</v>
      </c>
      <c r="O20" t="str">
        <f>IF(AND($F20="", $G20=""), "",
   IF(OR(
        IF($F20&lt;&gt;"", COUNTIF(ringfence!B$2:B$10000, "*"&amp;$F20&amp;"*"), 0)&gt;0,
        IF($G20&lt;&gt;"", COUNTIF(ringfence!B$2:B$10000, "*"&amp;$G20&amp;"*"), 0)&gt;0
   ),
   "Yes", "No")
)</f>
        <v>No</v>
      </c>
      <c r="P20" t="str">
        <f>IF(AND($F20="", $G20=""), "",
   IF(OR(
        IF($F20&lt;&gt;"", COUNTIF(ringfence!C$2:C$10000, "*"&amp;$F20&amp;"*"), 0)&gt;0,
        IF($G20&lt;&gt;"", COUNTIF(ringfence!C$2:C$10000, "*"&amp;$G20&amp;"*"), 0)&gt;0
   ),
   "Yes", "No")
)</f>
        <v>No</v>
      </c>
      <c r="Q20" t="str">
        <f>IF(AND($F20="", $G20=""), "",
   IF(OR(
        IF($F20&lt;&gt;"", COUNTIF(ringfence!D$2:D$10000, "*"&amp;$F20&amp;"*"), 0)&gt;0,
        IF($G20&lt;&gt;"", COUNTIF(ringfence!D$2:D$10000, "*"&amp;$G20&amp;"*"), 0)&gt;0
   ),
   "Yes", "No")
)</f>
        <v>No</v>
      </c>
      <c r="R20" t="str">
        <f>IF(AND($F20="", $G20=""), "",
   IF(OR(
        IF($F20&lt;&gt;"", COUNTIF(ringfence!E$2:E$10000, "*"&amp;$F20&amp;"*"), 0)&gt;0,
        IF($G20&lt;&gt;"", COUNTIF(ringfence!E$2:E$10000, "*"&amp;$G20&amp;"*"), 0)&gt;0
   ),
   "Yes", "No")
)</f>
        <v>No</v>
      </c>
      <c r="S20" cm="1">
        <f t="array" ref="S20">_xlfn.IFS(
    B20="1对1", "1x1",
    B20="1对2", "1x2",
    B20="小组会议", "小组会议",
    TRUE, B20
)</f>
        <v>0</v>
      </c>
      <c r="T20" s="32" t="str">
        <f t="shared" si="0"/>
        <v xml:space="preserve">Monashee
</v>
      </c>
    </row>
    <row r="22" spans="1:20">
      <c r="A22" s="73" t="s">
        <v>251</v>
      </c>
    </row>
    <row r="23" spans="1:20">
      <c r="A23" s="93" t="s">
        <v>36</v>
      </c>
      <c r="B23" s="92">
        <v>46161</v>
      </c>
    </row>
    <row r="24" spans="1:20">
      <c r="A24" s="94" t="s">
        <v>37</v>
      </c>
      <c r="B24" s="86" t="s">
        <v>1868</v>
      </c>
    </row>
    <row r="25" spans="1:20">
      <c r="A25" s="85" t="s">
        <v>230</v>
      </c>
      <c r="B25" s="85" t="s">
        <v>1102</v>
      </c>
      <c r="C25" s="85" t="s">
        <v>1103</v>
      </c>
      <c r="D25" s="85" t="s">
        <v>1104</v>
      </c>
      <c r="E25" s="100" t="s">
        <v>1111</v>
      </c>
      <c r="F25" s="85" t="s">
        <v>1100</v>
      </c>
      <c r="G25" s="85" t="s">
        <v>1101</v>
      </c>
      <c r="H25" s="85" t="s">
        <v>234</v>
      </c>
      <c r="I25" s="85" t="s">
        <v>235</v>
      </c>
      <c r="J25" s="85" t="s">
        <v>236</v>
      </c>
      <c r="K25" s="85" t="s">
        <v>237</v>
      </c>
      <c r="L25" s="85" t="s">
        <v>238</v>
      </c>
      <c r="M25" s="85" t="s">
        <v>1112</v>
      </c>
      <c r="N25" s="85" t="str">
        <f>"In " &amp;ringfence!A$1&amp; " ringfence?"</f>
        <v>In CMS ringfence?</v>
      </c>
      <c r="O25" s="85" t="str">
        <f>"In " &amp;ringfence!B$1&amp; " ringfence?"</f>
        <v>In 银河 ringfence?</v>
      </c>
      <c r="P25" s="85" t="str">
        <f>"In " &amp;ringfence!C$1&amp; " ringfence?"</f>
        <v>In Bank3 ringfence?</v>
      </c>
      <c r="Q25" s="85" t="str">
        <f>"In " &amp;ringfence!D$1&amp; " ringfence?"</f>
        <v>In Bank4 ringfence?</v>
      </c>
      <c r="R25" s="85" t="str">
        <f>"In " &amp;ringfence!E$1&amp; " ringfence?"</f>
        <v>In Bank5 ringfence?</v>
      </c>
      <c r="S25" s="87" t="s">
        <v>1614</v>
      </c>
      <c r="T25" s="87" t="s">
        <v>1614</v>
      </c>
    </row>
    <row r="26" spans="1:20" ht="102">
      <c r="A26" s="87" t="s">
        <v>1681</v>
      </c>
      <c r="B26" s="88" t="s">
        <v>239</v>
      </c>
      <c r="C26" s="89" t="s">
        <v>240</v>
      </c>
      <c r="D26" s="89" t="s">
        <v>241</v>
      </c>
      <c r="E26" s="94" t="s">
        <v>1965</v>
      </c>
      <c r="F26" s="87" t="str" cm="1">
        <f t="array" ref="F26:G26">IF(E26="","",
_xlfn._xlws.FILTER(
    IF(CompanyName1[]="","",CompanyName1[]),
    (ISNUMBER(SEARCH(E26,CompanyName1[机构名称（英文）]&amp;"")) +
     ISNUMBER(SEARCH(E26,CompanyName1[机构名称（中文）]&amp;"")))&gt;0
))</f>
        <v>奕图资本</v>
      </c>
      <c r="G26" s="87" t="str">
        <v>Y2 Capital</v>
      </c>
      <c r="H26" s="90" t="str">
        <f>IF(AND($F26="", $G26=""), "",
  _xlfn.IFNA(_xlfn.XLOOKUP($F26, database!$C:$C, database!$I:$I),
  _xlfn.IFNA(_xlfn.XLOOKUP($F26, database!$D:$D, database!$I:$I),
  _xlfn.IFNA(_xlfn.XLOOKUP($G26, database!$C:$C, database!$I:$I),
  _xlfn.IFNA(_xlfn.XLOOKUP($G26, database!$D:$D, database!$I:$I), "")))) &amp; ""
)</f>
        <v>黄正初 （董事总经理）</v>
      </c>
      <c r="I26" s="87" t="str">
        <f>IF(AND($F26="", $G26=""), "",
  _xlfn.IFNA(_xlfn.XLOOKUP($F26, database!$C:$C, database!$J:$J),
  _xlfn.IFNA(_xlfn.XLOOKUP($F26, database!$D:$D, database!$J:$J),
  _xlfn.IFNA(_xlfn.XLOOKUP($G26, database!$C:$C, database!$J:$J),
  _xlfn.IFNA(_xlfn.XLOOKUP($G26, database!$D:$D, database!$J:$J), "")))) &amp; ""
)</f>
        <v/>
      </c>
      <c r="J26" s="87" t="str">
        <f>IF(AND($F26="", $G26=""), "",
  _xlfn.IFNA(_xlfn.XLOOKUP($F26, database!$C:$C, database!$E:$E),
  _xlfn.IFNA(_xlfn.XLOOKUP($F26, database!$D:$D, database!$E:$E),
  _xlfn.IFNA(_xlfn.XLOOKUP($G26, database!$C:$C, database!$E:$E),
  _xlfn.IFNA(_xlfn.XLOOKUP($G26, database!$D:$D, database!$E:$E), ""))))
)</f>
        <v>多策略基金</v>
      </c>
      <c r="K26" s="87" t="str">
        <f>IF(AND($F26="", $G26=""), "",
  _xlfn.IFNA(_xlfn.XLOOKUP($F26, database!$C:$C, database!$K:$K),
  _xlfn.IFNA(_xlfn.XLOOKUP($F26, database!$D:$D, database!$K:$K),
  _xlfn.IFNA(_xlfn.XLOOKUP($G26, database!$C:$C, database!$K:$K),
  _xlfn.IFNA(_xlfn.XLOOKUP($G26, database!$D:$D, database!$K:$K), "")))) &amp; ""
)</f>
        <v/>
      </c>
      <c r="L26" s="165" t="str">
        <f>IF(AND($F26="", $G26=""), "",
  _xlfn.IFNA(_xlfn.XLOOKUP($F26, database!$C:$C, database!$F:$F),
  _xlfn.IFNA(_xlfn.XLOOKUP($F26, database!$D:$D, database!$F:$F),
  _xlfn.IFNA(_xlfn.XLOOKUP($G26, database!$C:$C, database!$F:$F),
  _xlfn.IFNA(_xlfn.XLOOKUP($G26, database!$D:$D, database!$F:$F), "")))) &amp; ""
)</f>
        <v>奕图资本（Y2 Capital）是一家总部位于香港的资产管理公司，由首席投资官富雷先生于 2020 年创立，为负责任投资原则（UN PRI）签署机构。秉持好奇心与追求真谛的使命感，奕图资本团队笃行价值投资。公司核心目标是为投资者创造可持续的经风险调整后回报，同时最大化对社会及环境的正面影响，致力于成为亚洲领先的负责任投资产管理理公司。</v>
      </c>
      <c r="M26" s="105" t="str">
        <f>IF(AND($F26="", $G26=""), "",
  _xlfn.IFNA(_xlfn.XLOOKUP($F26, database!$C:$C, database!$G:$G),
  _xlfn.IFNA(_xlfn.XLOOKUP($F26, database!$D:$D, database!$G:$G),
  _xlfn.IFNA(_xlfn.XLOOKUP($G26, database!$C:$C, database!$G:$G),
  _xlfn.IFNA(_xlfn.XLOOKUP($G26, database!$D:$D, database!$G:$G), "")))) &amp; ""
)</f>
        <v/>
      </c>
      <c r="N26" t="str">
        <f>IF(AND($F26="", $G26=""), "",
   IF(OR(
        IF($F26&lt;&gt;"", COUNTIF(ringfence!A$2:A$10000, "*"&amp;$F26&amp;"*"), 0)&gt;0,
        IF($G26&lt;&gt;"", COUNTIF(ringfence!A$2:A$10000, "*"&amp;$G26&amp;"*"), 0)&gt;0
   ),
   "Yes", "No")
)</f>
        <v>No</v>
      </c>
      <c r="O26" t="str">
        <f>IF(AND($F26="", $G26=""), "",
   IF(OR(
        IF($F26&lt;&gt;"", COUNTIF(ringfence!B$2:B$10000, "*"&amp;$F26&amp;"*"), 0)&gt;0,
        IF($G26&lt;&gt;"", COUNTIF(ringfence!B$2:B$10000, "*"&amp;$G26&amp;"*"), 0)&gt;0
   ),
   "Yes", "No")
)</f>
        <v>No</v>
      </c>
      <c r="P26" t="str">
        <f>IF(AND($F26="", $G26=""), "",
   IF(OR(
        IF($F26&lt;&gt;"", COUNTIF(ringfence!C$2:C$10000, "*"&amp;$F26&amp;"*"), 0)&gt;0,
        IF($G26&lt;&gt;"", COUNTIF(ringfence!C$2:C$10000, "*"&amp;$G26&amp;"*"), 0)&gt;0
   ),
   "Yes", "No")
)</f>
        <v>No</v>
      </c>
      <c r="Q26" t="str">
        <f>IF(AND($F26="", $G26=""), "",
   IF(OR(
        IF($F26&lt;&gt;"", COUNTIF(ringfence!D$2:D$10000, "*"&amp;$F26&amp;"*"), 0)&gt;0,
        IF($G26&lt;&gt;"", COUNTIF(ringfence!D$2:D$10000, "*"&amp;$G26&amp;"*"), 0)&gt;0
   ),
   "Yes", "No")
)</f>
        <v>No</v>
      </c>
      <c r="R26" t="str">
        <f>IF(AND($F26="", $G26=""), "",
   IF(OR(
        IF($F26&lt;&gt;"", COUNTIF(ringfence!E$2:E$10000, "*"&amp;$F26&amp;"*"), 0)&gt;0,
        IF($G26&lt;&gt;"", COUNTIF(ringfence!E$2:E$10000, "*"&amp;$G26&amp;"*"), 0)&gt;0
   ),
   "Yes", "No")
)</f>
        <v>No</v>
      </c>
      <c r="S26" t="str" cm="1">
        <f t="array" ref="S26">_xlfn.IFS(
    B26="1对1", "1x1",
    B26="1对2", "1x2",
    B26="小组会议", "小组会议",
    TRUE, B26
)</f>
        <v>1x1</v>
      </c>
      <c r="T26" s="32" t="str">
        <f t="shared" ref="T26:T31" si="1">G26 &amp; CHAR(10) &amp; F26</f>
        <v>Y2 Capital
奕图资本</v>
      </c>
    </row>
    <row r="27" spans="1:20" ht="30.75" customHeight="1">
      <c r="A27" s="87" t="s">
        <v>1682</v>
      </c>
      <c r="B27" s="88" t="s">
        <v>239</v>
      </c>
      <c r="C27" s="89" t="s">
        <v>240</v>
      </c>
      <c r="D27" s="89" t="s">
        <v>241</v>
      </c>
      <c r="E27" s="94" t="s">
        <v>1966</v>
      </c>
      <c r="F27" s="87" t="str" cm="1">
        <f t="array" ref="F27:G27">IF(E27="","",
_xlfn._xlws.FILTER(
    IF(CompanyName1[]="","",CompanyName1[]),
    (ISNUMBER(SEARCH(E27,CompanyName1[机构名称（英文）]&amp;"")) +
     ISNUMBER(SEARCH(E27,CompanyName1[机构名称（中文）]&amp;"")))&gt;0
))</f>
        <v/>
      </c>
      <c r="G27" s="87" t="str">
        <v>Centiva Capital</v>
      </c>
      <c r="H27" s="90" t="str">
        <f>IF(AND($F27="", $G27=""), "",
  _xlfn.IFNA(_xlfn.XLOOKUP($F27, database!$C:$C, database!$I:$I),
  _xlfn.IFNA(_xlfn.XLOOKUP($F27, database!$D:$D, database!$I:$I),
  _xlfn.IFNA(_xlfn.XLOOKUP($G27, database!$C:$C, database!$I:$I),
  _xlfn.IFNA(_xlfn.XLOOKUP($G27, database!$D:$D, database!$I:$I), "")))) &amp; ""
)</f>
        <v>Piers Cassidy
（基金经理）
阿麦斯：James Cheung（分析师）</v>
      </c>
      <c r="I27" s="87" t="str">
        <f>IF(AND($F27="", $G27=""), "",
  _xlfn.IFNA(_xlfn.XLOOKUP($F27, database!$C:$C, database!$J:$J),
  _xlfn.IFNA(_xlfn.XLOOKUP($F27, database!$D:$D, database!$J:$J),
  _xlfn.IFNA(_xlfn.XLOOKUP($G27, database!$C:$C, database!$J:$J),
  _xlfn.IFNA(_xlfn.XLOOKUP($G27, database!$D:$D, database!$J:$J), "")))) &amp; ""
)</f>
        <v/>
      </c>
      <c r="J27" s="87" t="str">
        <f>IF(AND($F27="", $G27=""), "",
  _xlfn.IFNA(_xlfn.XLOOKUP($F27, database!$C:$C, database!$E:$E),
  _xlfn.IFNA(_xlfn.XLOOKUP($F27, database!$D:$D, database!$E:$E),
  _xlfn.IFNA(_xlfn.XLOOKUP($G27, database!$C:$C, database!$E:$E),
  _xlfn.IFNA(_xlfn.XLOOKUP($G27, database!$D:$D, database!$E:$E), ""))))
)</f>
        <v>多策略基金</v>
      </c>
      <c r="K27" s="87" t="str">
        <f>IF(AND($F27="", $G27=""), "",
  _xlfn.IFNA(_xlfn.XLOOKUP($F27, database!$C:$C, database!$K:$K),
  _xlfn.IFNA(_xlfn.XLOOKUP($F27, database!$D:$D, database!$K:$K),
  _xlfn.IFNA(_xlfn.XLOOKUP($G27, database!$C:$C, database!$K:$K),
  _xlfn.IFNA(_xlfn.XLOOKUP($G27, database!$D:$D, database!$K:$K), "")))) &amp; ""
)</f>
        <v/>
      </c>
      <c r="L27" s="165" t="str">
        <f>IF(AND($F27="", $G27=""), "",
  _xlfn.IFNA(_xlfn.XLOOKUP($F27, database!$C:$C, database!$F:$F),
  _xlfn.IFNA(_xlfn.XLOOKUP($F27, database!$D:$D, database!$F:$F),
  _xlfn.IFNA(_xlfn.XLOOKUP($G27, database!$C:$C, database!$F:$F),
  _xlfn.IFNA(_xlfn.XLOOKUP($G27, database!$D:$D, database!$F:$F), "")))) &amp; ""
)</f>
        <v>Centiva Capital是一家位于美国纽约的金融投资公司，专注于为机构及个人投资者发掘另类投资机遇。公司依托专业的尽调流程与广泛的行业网络，系统筛选具有高增长潜力与价值提升空间的项目，致力于为投资者创造具有吸引力的风险调整后回报。凭借经验丰富的投资团队，Centiva不仅协助被投企业制定增长战略、优化财务与运营结构，还为投资者提供深度的行业洞察与市场分析，助力其实现更明智的投资决策</v>
      </c>
      <c r="M27" s="105" t="str">
        <f>IF(AND($F27="", $G27=""), "",
  _xlfn.IFNA(_xlfn.XLOOKUP($F27, database!$C:$C, database!$G:$G),
  _xlfn.IFNA(_xlfn.XLOOKUP($F27, database!$D:$D, database!$G:$G),
  _xlfn.IFNA(_xlfn.XLOOKUP($G27, database!$C:$C, database!$G:$G),
  _xlfn.IFNA(_xlfn.XLOOKUP($G27, database!$D:$D, database!$G:$G), "")))) &amp; ""
)</f>
        <v/>
      </c>
      <c r="N27" t="str">
        <f>IF(AND($F27="", $G27=""), "",
   IF(OR(
        IF($F27&lt;&gt;"", COUNTIF(ringfence!A$2:A$10000, "*"&amp;$F27&amp;"*"), 0)&gt;0,
        IF($G27&lt;&gt;"", COUNTIF(ringfence!A$2:A$10000, "*"&amp;$G27&amp;"*"), 0)&gt;0
   ),
   "Yes", "No")
)</f>
        <v>No</v>
      </c>
      <c r="O27" t="str">
        <f>IF(AND($F27="", $G27=""), "",
   IF(OR(
        IF($F27&lt;&gt;"", COUNTIF(ringfence!B$2:B$10000, "*"&amp;$F27&amp;"*"), 0)&gt;0,
        IF($G27&lt;&gt;"", COUNTIF(ringfence!B$2:B$10000, "*"&amp;$G27&amp;"*"), 0)&gt;0
   ),
   "Yes", "No")
)</f>
        <v>No</v>
      </c>
      <c r="P27" t="str">
        <f>IF(AND($F27="", $G27=""), "",
   IF(OR(
        IF($F27&lt;&gt;"", COUNTIF(ringfence!C$2:C$10000, "*"&amp;$F27&amp;"*"), 0)&gt;0,
        IF($G27&lt;&gt;"", COUNTIF(ringfence!C$2:C$10000, "*"&amp;$G27&amp;"*"), 0)&gt;0
   ),
   "Yes", "No")
)</f>
        <v>No</v>
      </c>
      <c r="Q27" t="str">
        <f>IF(AND($F27="", $G27=""), "",
   IF(OR(
        IF($F27&lt;&gt;"", COUNTIF(ringfence!D$2:D$10000, "*"&amp;$F27&amp;"*"), 0)&gt;0,
        IF($G27&lt;&gt;"", COUNTIF(ringfence!D$2:D$10000, "*"&amp;$G27&amp;"*"), 0)&gt;0
   ),
   "Yes", "No")
)</f>
        <v>No</v>
      </c>
      <c r="R27" t="str">
        <f>IF(AND($F27="", $G27=""), "",
   IF(OR(
        IF($F27&lt;&gt;"", COUNTIF(ringfence!E$2:E$10000, "*"&amp;$F27&amp;"*"), 0)&gt;0,
        IF($G27&lt;&gt;"", COUNTIF(ringfence!E$2:E$10000, "*"&amp;$G27&amp;"*"), 0)&gt;0
   ),
   "Yes", "No")
)</f>
        <v>No</v>
      </c>
      <c r="S27" t="str" cm="1">
        <f t="array" ref="S27">_xlfn.IFS(
    B27="1对1", "1x1",
    B27="1对2", "1x2",
    B27="小组会议", "小组会议",
    TRUE, B27
)</f>
        <v>1x1</v>
      </c>
      <c r="T27" s="32" t="str">
        <f t="shared" si="1"/>
        <v xml:space="preserve">Centiva Capital
</v>
      </c>
    </row>
    <row r="28" spans="1:20" ht="102">
      <c r="A28" s="87" t="s">
        <v>1899</v>
      </c>
      <c r="B28" s="88" t="s">
        <v>239</v>
      </c>
      <c r="C28" s="89" t="s">
        <v>240</v>
      </c>
      <c r="D28" s="89" t="s">
        <v>241</v>
      </c>
      <c r="E28" s="94" t="s">
        <v>1967</v>
      </c>
      <c r="F28" s="87" t="str" cm="1">
        <f t="array" ref="F28:G28">IF(E28="","",
_xlfn._xlws.FILTER(
    IF(CompanyName1[]="","",CompanyName1[]),
    (ISNUMBER(SEARCH(E28,CompanyName1[机构名称（英文）]&amp;"")) +
     ISNUMBER(SEARCH(E28,CompanyName1[机构名称（中文）]&amp;"")))&gt;0
))</f>
        <v>柏骏资本</v>
      </c>
      <c r="G28" s="87" t="str">
        <v>Polymer Capital</v>
      </c>
      <c r="H28" s="90" t="str">
        <f>IF(AND($F28="", $G28=""), "",
  _xlfn.IFNA(_xlfn.XLOOKUP($F28, database!$C:$C, database!$I:$I),
  _xlfn.IFNA(_xlfn.XLOOKUP($F28, database!$D:$D, database!$I:$I),
  _xlfn.IFNA(_xlfn.XLOOKUP($G28, database!$C:$C, database!$I:$I),
  _xlfn.IFNA(_xlfn.XLOOKUP($G28, database!$D:$D, database!$I:$I), "")))) &amp; ""
)</f>
        <v>Hillman Wong
（资本市场负责人）
Elaine Wang
（ECM董事）
Andy Kung
（基金经理）</v>
      </c>
      <c r="I28" s="87" t="str">
        <f>IF(AND($F28="", $G28=""), "",
  _xlfn.IFNA(_xlfn.XLOOKUP($F28, database!$C:$C, database!$J:$J),
  _xlfn.IFNA(_xlfn.XLOOKUP($F28, database!$D:$D, database!$J:$J),
  _xlfn.IFNA(_xlfn.XLOOKUP($G28, database!$C:$C, database!$J:$J),
  _xlfn.IFNA(_xlfn.XLOOKUP($G28, database!$D:$D, database!$J:$J), "")))) &amp; ""
)</f>
        <v/>
      </c>
      <c r="J28" s="87" t="str">
        <f>IF(AND($F28="", $G28=""), "",
  _xlfn.IFNA(_xlfn.XLOOKUP($F28, database!$C:$C, database!$E:$E),
  _xlfn.IFNA(_xlfn.XLOOKUP($F28, database!$D:$D, database!$E:$E),
  _xlfn.IFNA(_xlfn.XLOOKUP($G28, database!$C:$C, database!$E:$E),
  _xlfn.IFNA(_xlfn.XLOOKUP($G28, database!$D:$D, database!$E:$E), ""))))
)</f>
        <v>多策略基金</v>
      </c>
      <c r="K28" s="87" t="str">
        <f>IF(AND($F28="", $G28=""), "",
  _xlfn.IFNA(_xlfn.XLOOKUP($F28, database!$C:$C, database!$K:$K),
  _xlfn.IFNA(_xlfn.XLOOKUP($F28, database!$D:$D, database!$K:$K),
  _xlfn.IFNA(_xlfn.XLOOKUP($G28, database!$C:$C, database!$K:$K),
  _xlfn.IFNA(_xlfn.XLOOKUP($G28, database!$D:$D, database!$K:$K), "")))) &amp; ""
)</f>
        <v/>
      </c>
      <c r="L28" s="165" t="str">
        <f>IF(AND($F28="", $G28=""), "",
  _xlfn.IFNA(_xlfn.XLOOKUP($F28, database!$C:$C, database!$F:$F),
  _xlfn.IFNA(_xlfn.XLOOKUP($F28, database!$D:$D, database!$F:$F),
  _xlfn.IFNA(_xlfn.XLOOKUP($G28, database!$C:$C, database!$F:$F),
  _xlfn.IFNA(_xlfn.XLOOKUP($G28, database!$D:$D, database!$F:$F), "")))) &amp; ""
)</f>
        <v>柏骏资本（Polymer Capital）成立于2019年9月，是太盟投资集团（PAG）旗下专注亚太市场的多管理人对冲基金平台，构建市场中立的流动性证券投资体系。公司通过聚合顶尖投资人才与精细化风险控制引擎的双轮驱动模式，在股票多空、统计套利及事件驱动等多元策略维度，为机构投资者提供低波动、高夏普比率的绝对收益解决方案。目前资产管理规模约500亿美元</v>
      </c>
      <c r="M28" s="105" t="str">
        <f>IF(AND($F28="", $G28=""), "",
  _xlfn.IFNA(_xlfn.XLOOKUP($F28, database!$C:$C, database!$G:$G),
  _xlfn.IFNA(_xlfn.XLOOKUP($F28, database!$D:$D, database!$G:$G),
  _xlfn.IFNA(_xlfn.XLOOKUP($G28, database!$C:$C, database!$G:$G),
  _xlfn.IFNA(_xlfn.XLOOKUP($G28, database!$D:$D, database!$G:$G), "")))) &amp; ""
)</f>
        <v/>
      </c>
      <c r="N28" t="str">
        <f>IF(AND($F28="", $G28=""), "",
   IF(OR(
        IF($F28&lt;&gt;"", COUNTIF(ringfence!A$2:A$10000, "*"&amp;$F28&amp;"*"), 0)&gt;0,
        IF($G28&lt;&gt;"", COUNTIF(ringfence!A$2:A$10000, "*"&amp;$G28&amp;"*"), 0)&gt;0
   ),
   "Yes", "No")
)</f>
        <v>No</v>
      </c>
      <c r="O28" t="str">
        <f>IF(AND($F28="", $G28=""), "",
   IF(OR(
        IF($F28&lt;&gt;"", COUNTIF(ringfence!B$2:B$10000, "*"&amp;$F28&amp;"*"), 0)&gt;0,
        IF($G28&lt;&gt;"", COUNTIF(ringfence!B$2:B$10000, "*"&amp;$G28&amp;"*"), 0)&gt;0
   ),
   "Yes", "No")
)</f>
        <v>No</v>
      </c>
      <c r="P28" t="str">
        <f>IF(AND($F28="", $G28=""), "",
   IF(OR(
        IF($F28&lt;&gt;"", COUNTIF(ringfence!C$2:C$10000, "*"&amp;$F28&amp;"*"), 0)&gt;0,
        IF($G28&lt;&gt;"", COUNTIF(ringfence!C$2:C$10000, "*"&amp;$G28&amp;"*"), 0)&gt;0
   ),
   "Yes", "No")
)</f>
        <v>No</v>
      </c>
      <c r="Q28" t="str">
        <f>IF(AND($F28="", $G28=""), "",
   IF(OR(
        IF($F28&lt;&gt;"", COUNTIF(ringfence!D$2:D$10000, "*"&amp;$F28&amp;"*"), 0)&gt;0,
        IF($G28&lt;&gt;"", COUNTIF(ringfence!D$2:D$10000, "*"&amp;$G28&amp;"*"), 0)&gt;0
   ),
   "Yes", "No")
)</f>
        <v>No</v>
      </c>
      <c r="R28" t="str">
        <f>IF(AND($F28="", $G28=""), "",
   IF(OR(
        IF($F28&lt;&gt;"", COUNTIF(ringfence!E$2:E$10000, "*"&amp;$F28&amp;"*"), 0)&gt;0,
        IF($G28&lt;&gt;"", COUNTIF(ringfence!E$2:E$10000, "*"&amp;$G28&amp;"*"), 0)&gt;0
   ),
   "Yes", "No")
)</f>
        <v>No</v>
      </c>
      <c r="S28" t="str" cm="1">
        <f t="array" ref="S28">_xlfn.IFS(
    B28="1对1", "1x1",
    B28="1对2", "1x2",
    B28="小组会议", "小组会议",
    TRUE, B28
)</f>
        <v>1x1</v>
      </c>
      <c r="T28" s="32" t="str">
        <f t="shared" si="1"/>
        <v>Polymer Capital
柏骏资本</v>
      </c>
    </row>
    <row r="29" spans="1:20" ht="85">
      <c r="A29" s="87" t="s">
        <v>246</v>
      </c>
      <c r="B29" s="88" t="s">
        <v>239</v>
      </c>
      <c r="C29" s="89" t="s">
        <v>240</v>
      </c>
      <c r="D29" s="89" t="s">
        <v>241</v>
      </c>
      <c r="E29" s="94" t="s">
        <v>1968</v>
      </c>
      <c r="F29" s="87" t="str" cm="1">
        <f t="array" ref="F29:G29">IF(E29="","",
_xlfn._xlws.FILTER(
    IF(CompanyName1[]="","",CompanyName1[]),
    (ISNUMBER(SEARCH(E29,CompanyName1[机构名称（英文）]&amp;"")) +
     ISNUMBER(SEARCH(E29,CompanyName1[机构名称（中文）]&amp;"")))&gt;0
))</f>
        <v>德邵基金</v>
      </c>
      <c r="G29" s="87" t="str">
        <v>D.E. Shaw</v>
      </c>
      <c r="H29" s="90" t="str">
        <f>IF(AND($F29="", $G29=""), "",
  _xlfn.IFNA(_xlfn.XLOOKUP($F29, database!$C:$C, database!$I:$I),
  _xlfn.IFNA(_xlfn.XLOOKUP($F29, database!$D:$D, database!$I:$I),
  _xlfn.IFNA(_xlfn.XLOOKUP($G29, database!$C:$C, database!$I:$I),
  _xlfn.IFNA(_xlfn.XLOOKUP($G29, database!$D:$D, database!$I:$I), "")))) &amp; ""
)</f>
        <v>Qinbo Ding（基金经理）
Joe Zhu（ECM负责人）</v>
      </c>
      <c r="I29" s="87" t="str">
        <f>IF(AND($F29="", $G29=""), "",
  _xlfn.IFNA(_xlfn.XLOOKUP($F29, database!$C:$C, database!$J:$J),
  _xlfn.IFNA(_xlfn.XLOOKUP($F29, database!$D:$D, database!$J:$J),
  _xlfn.IFNA(_xlfn.XLOOKUP($G29, database!$C:$C, database!$J:$J),
  _xlfn.IFNA(_xlfn.XLOOKUP($G29, database!$D:$D, database!$J:$J), "")))) &amp; ""
)</f>
        <v>"中环皇后大道中15号置地广场York House19楼</v>
      </c>
      <c r="J29" s="87" t="str">
        <f>IF(AND($F29="", $G29=""), "",
  _xlfn.IFNA(_xlfn.XLOOKUP($F29, database!$C:$C, database!$E:$E),
  _xlfn.IFNA(_xlfn.XLOOKUP($F29, database!$D:$D, database!$E:$E),
  _xlfn.IFNA(_xlfn.XLOOKUP($G29, database!$C:$C, database!$E:$E),
  _xlfn.IFNA(_xlfn.XLOOKUP($G29, database!$D:$D, database!$E:$E), ""))))
)</f>
        <v>多策略基金</v>
      </c>
      <c r="K29" s="87" t="str">
        <f>IF(AND($F29="", $G29=""), "",
  _xlfn.IFNA(_xlfn.XLOOKUP($F29, database!$C:$C, database!$K:$K),
  _xlfn.IFNA(_xlfn.XLOOKUP($F29, database!$D:$D, database!$K:$K),
  _xlfn.IFNA(_xlfn.XLOOKUP($G29, database!$C:$C, database!$K:$K),
  _xlfn.IFNA(_xlfn.XLOOKUP($G29, database!$D:$D, database!$K:$K), "")))) &amp; ""
)</f>
        <v>超650亿美元</v>
      </c>
      <c r="L29" s="165" t="str">
        <f>IF(AND($F29="", $G29=""), "",
  _xlfn.IFNA(_xlfn.XLOOKUP($F29, database!$C:$C, database!$F:$F),
  _xlfn.IFNA(_xlfn.XLOOKUP($F29, database!$D:$D, database!$F:$F),
  _xlfn.IFNA(_xlfn.XLOOKUP($G29, database!$C:$C, database!$F:$F),
  _xlfn.IFNA(_xlfn.XLOOKUP($G29, database!$D:$D, database!$F:$F), "")))) &amp; ""
)</f>
        <v>德邵基金（D.E. Shaw）成立于1988年，以量化投资和多策略组合为核心竞争力，业务覆盖另类投资、长期策略及技术驱动型金融创新。该公司使用广泛多元的投资策略进行全球布局，投资覆盖一级、二级市场项目，旨在获取绝对收益。截至2025年3月1日，其资产管理规模超过650亿美元</v>
      </c>
      <c r="M29" s="105" t="str">
        <f>IF(AND($F29="", $G29=""), "",
  _xlfn.IFNA(_xlfn.XLOOKUP($F29, database!$C:$C, database!$G:$G),
  _xlfn.IFNA(_xlfn.XLOOKUP($F29, database!$D:$D, database!$G:$G),
  _xlfn.IFNA(_xlfn.XLOOKUP($G29, database!$C:$C, database!$G:$G),
  _xlfn.IFNA(_xlfn.XLOOKUP($G29, database!$D:$D, database!$G:$G), "")))) &amp; ""
)</f>
        <v>新华保险、海通证券</v>
      </c>
      <c r="N29" t="str">
        <f>IF(AND($F29="", $G29=""), "",
   IF(OR(
        IF($F29&lt;&gt;"", COUNTIF(ringfence!A$2:A$10000, "*"&amp;$F29&amp;"*"), 0)&gt;0,
        IF($G29&lt;&gt;"", COUNTIF(ringfence!A$2:A$10000, "*"&amp;$G29&amp;"*"), 0)&gt;0
   ),
   "Yes", "No")
)</f>
        <v>No</v>
      </c>
      <c r="O29" t="str">
        <f>IF(AND($F29="", $G29=""), "",
   IF(OR(
        IF($F29&lt;&gt;"", COUNTIF(ringfence!B$2:B$10000, "*"&amp;$F29&amp;"*"), 0)&gt;0,
        IF($G29&lt;&gt;"", COUNTIF(ringfence!B$2:B$10000, "*"&amp;$G29&amp;"*"), 0)&gt;0
   ),
   "Yes", "No")
)</f>
        <v>No</v>
      </c>
      <c r="P29" t="str">
        <f>IF(AND($F29="", $G29=""), "",
   IF(OR(
        IF($F29&lt;&gt;"", COUNTIF(ringfence!C$2:C$10000, "*"&amp;$F29&amp;"*"), 0)&gt;0,
        IF($G29&lt;&gt;"", COUNTIF(ringfence!C$2:C$10000, "*"&amp;$G29&amp;"*"), 0)&gt;0
   ),
   "Yes", "No")
)</f>
        <v>No</v>
      </c>
      <c r="Q29" t="str">
        <f>IF(AND($F29="", $G29=""), "",
   IF(OR(
        IF($F29&lt;&gt;"", COUNTIF(ringfence!D$2:D$10000, "*"&amp;$F29&amp;"*"), 0)&gt;0,
        IF($G29&lt;&gt;"", COUNTIF(ringfence!D$2:D$10000, "*"&amp;$G29&amp;"*"), 0)&gt;0
   ),
   "Yes", "No")
)</f>
        <v>No</v>
      </c>
      <c r="R29" t="str">
        <f>IF(AND($F29="", $G29=""), "",
   IF(OR(
        IF($F29&lt;&gt;"", COUNTIF(ringfence!E$2:E$10000, "*"&amp;$F29&amp;"*"), 0)&gt;0,
        IF($G29&lt;&gt;"", COUNTIF(ringfence!E$2:E$10000, "*"&amp;$G29&amp;"*"), 0)&gt;0
   ),
   "Yes", "No")
)</f>
        <v>No</v>
      </c>
      <c r="S29" t="str" cm="1">
        <f t="array" ref="S29">_xlfn.IFS(
    B29="1对1", "1x1",
    B29="1对2", "1x2",
    B29="小组会议", "小组会议",
    TRUE, B29
)</f>
        <v>1x1</v>
      </c>
      <c r="T29" s="32" t="str">
        <f t="shared" si="1"/>
        <v>D.E. Shaw
德邵基金</v>
      </c>
    </row>
    <row r="30" spans="1:20" ht="102">
      <c r="A30" s="87"/>
      <c r="B30" s="88"/>
      <c r="C30" s="89"/>
      <c r="D30" s="89"/>
      <c r="E30" s="94" t="s">
        <v>1969</v>
      </c>
      <c r="F30" s="87" t="str" cm="1">
        <f t="array" ref="F30:G30">IF(E30="","",
_xlfn._xlws.FILTER(
    IF(CompanyName1[]="","",CompanyName1[]),
    (ISNUMBER(SEARCH(E30,CompanyName1[机构名称（英文）]&amp;"")) +
     ISNUMBER(SEARCH(E30,CompanyName1[机构名称（中文）]&amp;"")))&gt;0
))</f>
        <v/>
      </c>
      <c r="G30" s="87" t="str">
        <v>Viridian</v>
      </c>
      <c r="H30" s="90" t="str">
        <f>IF(AND($F30="", $G30=""), "",
  _xlfn.IFNA(_xlfn.XLOOKUP($F30, database!$C:$C, database!$I:$I),
  _xlfn.IFNA(_xlfn.XLOOKUP($F30, database!$D:$D, database!$I:$I),
  _xlfn.IFNA(_xlfn.XLOOKUP($G30, database!$C:$C, database!$I:$I),
  _xlfn.IFNA(_xlfn.XLOOKUP($G30, database!$D:$D, database!$I:$I), "")))) &amp; ""
)</f>
        <v>Heidi Hung (head of research)</v>
      </c>
      <c r="I30" s="87" t="str">
        <f>IF(AND($F30="", $G30=""), "",
  _xlfn.IFNA(_xlfn.XLOOKUP($F30, database!$C:$C, database!$J:$J),
  _xlfn.IFNA(_xlfn.XLOOKUP($F30, database!$D:$D, database!$J:$J),
  _xlfn.IFNA(_xlfn.XLOOKUP($G30, database!$C:$C, database!$J:$J),
  _xlfn.IFNA(_xlfn.XLOOKUP($G30, database!$D:$D, database!$J:$J), "")))) &amp; ""
)</f>
        <v/>
      </c>
      <c r="J30" s="87" t="str">
        <f>IF(AND($F30="", $G30=""), "",
  _xlfn.IFNA(_xlfn.XLOOKUP($F30, database!$C:$C, database!$E:$E),
  _xlfn.IFNA(_xlfn.XLOOKUP($F30, database!$D:$D, database!$E:$E),
  _xlfn.IFNA(_xlfn.XLOOKUP($G30, database!$C:$C, database!$E:$E),
  _xlfn.IFNA(_xlfn.XLOOKUP($G30, database!$D:$D, database!$E:$E), ""))))
)</f>
        <v>多策略基金</v>
      </c>
      <c r="K30" s="87" t="str">
        <f>IF(AND($F30="", $G30=""), "",
  _xlfn.IFNA(_xlfn.XLOOKUP($F30, database!$C:$C, database!$K:$K),
  _xlfn.IFNA(_xlfn.XLOOKUP($F30, database!$D:$D, database!$K:$K),
  _xlfn.IFNA(_xlfn.XLOOKUP($G30, database!$C:$C, database!$K:$K),
  _xlfn.IFNA(_xlfn.XLOOKUP($G30, database!$D:$D, database!$K:$K), "")))) &amp; ""
)</f>
        <v/>
      </c>
      <c r="L30" s="165" t="str">
        <f>IF(AND($F30="", $G30=""), "",
  _xlfn.IFNA(_xlfn.XLOOKUP($F30, database!$C:$C, database!$F:$F),
  _xlfn.IFNA(_xlfn.XLOOKUP($F30, database!$D:$D, database!$F:$F),
  _xlfn.IFNA(_xlfn.XLOOKUP($G30, database!$C:$C, database!$F:$F),
  _xlfn.IFNA(_xlfn.XLOOKUP($G30, database!$D:$D, database!$F:$F), "")))) &amp; ""
)</f>
        <v>Viridian是亚洲市场活跃度较高的对冲基金，由前 Segantii 基金经理 Pascal Guttieres 于 2024 年创立。其投资聚焦亚洲股票市场及基本面优质、具备成长性的企业，覆盖 IPO、大宗交易（Block Trade）、可转债（CB）等多元产品。公司是港股IPO最活跃的投资人之一，关注新经济、高科技、大健康、大消费等项目，参与众多项目的锚定投资。其资产管理规模约2亿美元</v>
      </c>
      <c r="M30" s="105" t="str">
        <f>IF(AND($F30="", $G30=""), "",
  _xlfn.IFNA(_xlfn.XLOOKUP($F30, database!$C:$C, database!$G:$G),
  _xlfn.IFNA(_xlfn.XLOOKUP($F30, database!$D:$D, database!$G:$G),
  _xlfn.IFNA(_xlfn.XLOOKUP($G30, database!$C:$C, database!$G:$G),
  _xlfn.IFNA(_xlfn.XLOOKUP($G30, database!$D:$D, database!$G:$G), "")))) &amp; ""
)</f>
        <v/>
      </c>
      <c r="N30" t="str">
        <f>IF(AND($F30="", $G30=""), "",
   IF(OR(
        IF($F30&lt;&gt;"", COUNTIF(ringfence!A$2:A$10000, "*"&amp;$F30&amp;"*"), 0)&gt;0,
        IF($G30&lt;&gt;"", COUNTIF(ringfence!A$2:A$10000, "*"&amp;$G30&amp;"*"), 0)&gt;0
   ),
   "Yes", "No")
)</f>
        <v>No</v>
      </c>
      <c r="O30" t="str">
        <f>IF(AND($F30="", $G30=""), "",
   IF(OR(
        IF($F30&lt;&gt;"", COUNTIF(ringfence!B$2:B$10000, "*"&amp;$F30&amp;"*"), 0)&gt;0,
        IF($G30&lt;&gt;"", COUNTIF(ringfence!B$2:B$10000, "*"&amp;$G30&amp;"*"), 0)&gt;0
   ),
   "Yes", "No")
)</f>
        <v>No</v>
      </c>
      <c r="P30" t="str">
        <f>IF(AND($F30="", $G30=""), "",
   IF(OR(
        IF($F30&lt;&gt;"", COUNTIF(ringfence!C$2:C$10000, "*"&amp;$F30&amp;"*"), 0)&gt;0,
        IF($G30&lt;&gt;"", COUNTIF(ringfence!C$2:C$10000, "*"&amp;$G30&amp;"*"), 0)&gt;0
   ),
   "Yes", "No")
)</f>
        <v>No</v>
      </c>
      <c r="Q30" t="str">
        <f>IF(AND($F30="", $G30=""), "",
   IF(OR(
        IF($F30&lt;&gt;"", COUNTIF(ringfence!D$2:D$10000, "*"&amp;$F30&amp;"*"), 0)&gt;0,
        IF($G30&lt;&gt;"", COUNTIF(ringfence!D$2:D$10000, "*"&amp;$G30&amp;"*"), 0)&gt;0
   ),
   "Yes", "No")
)</f>
        <v>No</v>
      </c>
      <c r="R30" t="str">
        <f>IF(AND($F30="", $G30=""), "",
   IF(OR(
        IF($F30&lt;&gt;"", COUNTIF(ringfence!E$2:E$10000, "*"&amp;$F30&amp;"*"), 0)&gt;0,
        IF($G30&lt;&gt;"", COUNTIF(ringfence!E$2:E$10000, "*"&amp;$G30&amp;"*"), 0)&gt;0
   ),
   "Yes", "No")
)</f>
        <v>No</v>
      </c>
      <c r="S30" cm="1">
        <f t="array" ref="S30">_xlfn.IFS(
    B30="1对1", "1x1",
    B30="1对2", "1x2",
    B30="小组会议", "小组会议",
    TRUE, B30
)</f>
        <v>0</v>
      </c>
      <c r="T30" s="32" t="str">
        <f t="shared" si="1"/>
        <v xml:space="preserve">Viridian
</v>
      </c>
    </row>
    <row r="31" spans="1:20" ht="30.25" customHeight="1">
      <c r="A31" s="87"/>
      <c r="B31" s="88"/>
      <c r="C31" s="89"/>
      <c r="D31" s="89"/>
      <c r="E31" s="94" t="s">
        <v>1970</v>
      </c>
      <c r="F31" s="87" t="str" cm="1">
        <f t="array" ref="F31:G31">IF(E31="","",
_xlfn._xlws.FILTER(
    IF(CompanyName1[]="","",CompanyName1[]),
    (ISNUMBER(SEARCH(E31,CompanyName1[机构名称（英文）]&amp;"")) +
     ISNUMBER(SEARCH(E31,CompanyName1[机构名称（中文）]&amp;"")))&gt;0
))</f>
        <v>安澜资本</v>
      </c>
      <c r="G31" s="87" t="str">
        <v>Anlan Capital</v>
      </c>
      <c r="H31" s="90" t="str">
        <f>IF(AND($F31="", $G31=""), "",
  _xlfn.IFNA(_xlfn.XLOOKUP($F31, database!$C:$C, database!$I:$I),
  _xlfn.IFNA(_xlfn.XLOOKUP($F31, database!$D:$D, database!$I:$I),
  _xlfn.IFNA(_xlfn.XLOOKUP($G31, database!$C:$C, database!$I:$I),
  _xlfn.IFNA(_xlfn.XLOOKUP($G31, database!$D:$D, database!$I:$I), "")))) &amp; ""
)</f>
        <v>孙瑞（执行董事）
Jack（创始人）</v>
      </c>
      <c r="I31" s="87" t="str">
        <f>IF(AND($F31="", $G31=""), "",
  _xlfn.IFNA(_xlfn.XLOOKUP($F31, database!$C:$C, database!$J:$J),
  _xlfn.IFNA(_xlfn.XLOOKUP($F31, database!$D:$D, database!$J:$J),
  _xlfn.IFNA(_xlfn.XLOOKUP($G31, database!$C:$C, database!$J:$J),
  _xlfn.IFNA(_xlfn.XLOOKUP($G31, database!$D:$D, database!$J:$J), "")))) &amp; ""
)</f>
        <v/>
      </c>
      <c r="J31" s="87" t="str">
        <f>IF(AND($F31="", $G31=""), "",
  _xlfn.IFNA(_xlfn.XLOOKUP($F31, database!$C:$C, database!$E:$E),
  _xlfn.IFNA(_xlfn.XLOOKUP($F31, database!$D:$D, database!$E:$E),
  _xlfn.IFNA(_xlfn.XLOOKUP($G31, database!$C:$C, database!$E:$E),
  _xlfn.IFNA(_xlfn.XLOOKUP($G31, database!$D:$D, database!$E:$E), ""))))
)</f>
        <v>中资长线</v>
      </c>
      <c r="K31" s="87" t="str">
        <f>IF(AND($F31="", $G31=""), "",
  _xlfn.IFNA(_xlfn.XLOOKUP($F31, database!$C:$C, database!$K:$K),
  _xlfn.IFNA(_xlfn.XLOOKUP($F31, database!$D:$D, database!$K:$K),
  _xlfn.IFNA(_xlfn.XLOOKUP($G31, database!$C:$C, database!$K:$K),
  _xlfn.IFNA(_xlfn.XLOOKUP($G31, database!$D:$D, database!$K:$K), "")))) &amp; ""
)</f>
        <v/>
      </c>
      <c r="L31" s="165" t="str">
        <f>IF(AND($F31="", $G31=""), "",
  _xlfn.IFNA(_xlfn.XLOOKUP($F31, database!$C:$C, database!$F:$F),
  _xlfn.IFNA(_xlfn.XLOOKUP($F31, database!$D:$D, database!$F:$F),
  _xlfn.IFNA(_xlfn.XLOOKUP($G31, database!$C:$C, database!$F:$F),
  _xlfn.IFNA(_xlfn.XLOOKUP($G31, database!$D:$D, database!$F:$F), "")))) &amp; ""
)</f>
        <v>安澜资本（Anlan Capital）是一家全球领先的多元化资产管理公司，公司的资产管理产品涉及私募股权、房产基金、对冲基金、固定收益等多个投资领域。安澜资本的股东和投资团队具有强劲筛选及网罗优质资产的能力，合作伙伴和投资标的均聚焦于行业中第一梯队企业。公司致力于为中国的机构投资者，金融专业人士，以及高净值人士寻找独家的投资机会以及多样化的解决方案。安澜致力于投资最具前景的新经济、高科技、大消费及生物医疗企业。投资团队来自于国际知名投资机构、投行，具有开阔的国际视野及对资本市场的深刻认知。其资产管理规模约10亿美元。</v>
      </c>
      <c r="M31" s="105" t="str">
        <f>IF(AND($F31="", $G31=""), "",
  _xlfn.IFNA(_xlfn.XLOOKUP($F31, database!$C:$C, database!$G:$G),
  _xlfn.IFNA(_xlfn.XLOOKUP($F31, database!$D:$D, database!$G:$G),
  _xlfn.IFNA(_xlfn.XLOOKUP($G31, database!$C:$C, database!$G:$G),
  _xlfn.IFNA(_xlfn.XLOOKUP($G31, database!$D:$D, database!$G:$G), "")))) &amp; ""
)</f>
        <v>和铂医药-B、海普瑞</v>
      </c>
      <c r="N31" t="str">
        <f>IF(AND($F31="", $G31=""), "",
   IF(OR(
        IF($F31&lt;&gt;"", COUNTIF(ringfence!A$2:A$10000, "*"&amp;$F31&amp;"*"), 0)&gt;0,
        IF($G31&lt;&gt;"", COUNTIF(ringfence!A$2:A$10000, "*"&amp;$G31&amp;"*"), 0)&gt;0
   ),
   "Yes", "No")
)</f>
        <v>No</v>
      </c>
      <c r="O31" t="str">
        <f>IF(AND($F31="", $G31=""), "",
   IF(OR(
        IF($F31&lt;&gt;"", COUNTIF(ringfence!B$2:B$10000, "*"&amp;$F31&amp;"*"), 0)&gt;0,
        IF($G31&lt;&gt;"", COUNTIF(ringfence!B$2:B$10000, "*"&amp;$G31&amp;"*"), 0)&gt;0
   ),
   "Yes", "No")
)</f>
        <v>No</v>
      </c>
      <c r="P31" t="str">
        <f>IF(AND($F31="", $G31=""), "",
   IF(OR(
        IF($F31&lt;&gt;"", COUNTIF(ringfence!C$2:C$10000, "*"&amp;$F31&amp;"*"), 0)&gt;0,
        IF($G31&lt;&gt;"", COUNTIF(ringfence!C$2:C$10000, "*"&amp;$G31&amp;"*"), 0)&gt;0
   ),
   "Yes", "No")
)</f>
        <v>No</v>
      </c>
      <c r="Q31" t="str">
        <f>IF(AND($F31="", $G31=""), "",
   IF(OR(
        IF($F31&lt;&gt;"", COUNTIF(ringfence!D$2:D$10000, "*"&amp;$F31&amp;"*"), 0)&gt;0,
        IF($G31&lt;&gt;"", COUNTIF(ringfence!D$2:D$10000, "*"&amp;$G31&amp;"*"), 0)&gt;0
   ),
   "Yes", "No")
)</f>
        <v>No</v>
      </c>
      <c r="R31" t="str">
        <f>IF(AND($F31="", $G31=""), "",
   IF(OR(
        IF($F31&lt;&gt;"", COUNTIF(ringfence!E$2:E$10000, "*"&amp;$F31&amp;"*"), 0)&gt;0,
        IF($G31&lt;&gt;"", COUNTIF(ringfence!E$2:E$10000, "*"&amp;$G31&amp;"*"), 0)&gt;0
   ),
   "Yes", "No")
)</f>
        <v>No</v>
      </c>
      <c r="S31" cm="1">
        <f t="array" ref="S31">_xlfn.IFS(
    B31="1对1", "1x1",
    B31="1对2", "1x2",
    B31="小组会议", "小组会议",
    TRUE, B31
)</f>
        <v>0</v>
      </c>
      <c r="T31" s="32" t="str">
        <f t="shared" si="1"/>
        <v>Anlan Capital
安澜资本</v>
      </c>
    </row>
    <row r="32" spans="1:20" ht="17" customHeight="1">
      <c r="E32" s="87"/>
    </row>
    <row r="33" spans="1:20" ht="30.25" customHeight="1">
      <c r="A33" s="73" t="s">
        <v>255</v>
      </c>
      <c r="P33" s="163"/>
      <c r="Q33" s="161"/>
    </row>
    <row r="34" spans="1:20" ht="30.25" customHeight="1">
      <c r="A34" s="93" t="s">
        <v>68</v>
      </c>
      <c r="B34" s="92">
        <v>46162</v>
      </c>
      <c r="P34" s="163"/>
      <c r="Q34" s="161"/>
    </row>
    <row r="35" spans="1:20" ht="18" customHeight="1">
      <c r="A35" s="94" t="s">
        <v>69</v>
      </c>
      <c r="B35" s="86" t="s">
        <v>1876</v>
      </c>
      <c r="K35" s="32"/>
      <c r="P35" s="163"/>
      <c r="Q35" s="161"/>
    </row>
    <row r="36" spans="1:20" ht="30.25" customHeight="1">
      <c r="A36" s="85" t="s">
        <v>230</v>
      </c>
      <c r="B36" s="85" t="s">
        <v>1105</v>
      </c>
      <c r="C36" s="85" t="s">
        <v>1106</v>
      </c>
      <c r="D36" s="85" t="s">
        <v>1107</v>
      </c>
      <c r="E36" s="100" t="s">
        <v>1111</v>
      </c>
      <c r="F36" s="85" t="s">
        <v>1100</v>
      </c>
      <c r="G36" s="85" t="s">
        <v>1101</v>
      </c>
      <c r="H36" s="85" t="s">
        <v>234</v>
      </c>
      <c r="I36" s="85" t="s">
        <v>235</v>
      </c>
      <c r="J36" s="85" t="s">
        <v>236</v>
      </c>
      <c r="K36" s="85" t="s">
        <v>237</v>
      </c>
      <c r="L36" s="85" t="s">
        <v>238</v>
      </c>
      <c r="M36" s="85" t="s">
        <v>1112</v>
      </c>
      <c r="N36" s="85" t="str">
        <f>"In " &amp;ringfence!A$1&amp; " ringfence?"</f>
        <v>In CMS ringfence?</v>
      </c>
      <c r="O36" s="85" t="str">
        <f>"In " &amp;ringfence!B$1&amp; " ringfence?"</f>
        <v>In 银河 ringfence?</v>
      </c>
      <c r="P36" s="85" t="str">
        <f>"In " &amp;ringfence!C$1&amp; " ringfence?"</f>
        <v>In Bank3 ringfence?</v>
      </c>
      <c r="Q36" s="85" t="str">
        <f>"In " &amp;ringfence!D$1&amp; " ringfence?"</f>
        <v>In Bank4 ringfence?</v>
      </c>
      <c r="R36" s="85" t="str">
        <f>"In " &amp;ringfence!E$1&amp; " ringfence?"</f>
        <v>In Bank5 ringfence?</v>
      </c>
      <c r="S36" s="87" t="s">
        <v>1614</v>
      </c>
      <c r="T36" s="87" t="s">
        <v>1614</v>
      </c>
    </row>
    <row r="37" spans="1:20" ht="68">
      <c r="A37" s="87" t="s">
        <v>1681</v>
      </c>
      <c r="B37" s="88" t="s">
        <v>239</v>
      </c>
      <c r="C37" s="89" t="s">
        <v>240</v>
      </c>
      <c r="D37" s="89" t="s">
        <v>241</v>
      </c>
      <c r="E37" s="94" t="s">
        <v>1971</v>
      </c>
      <c r="F37" s="87" t="str" cm="1">
        <f t="array" ref="F37:G37">IF(E37="","",
_xlfn._xlws.FILTER(
    IF(CompanyName1[]="","",CompanyName1[]),
    (ISNUMBER(SEARCH(E37,CompanyName1[机构名称（英文）]&amp;"")) +
     ISNUMBER(SEARCH(E37,CompanyName1[机构名称（中文）]&amp;"")))&gt;0
))</f>
        <v/>
      </c>
      <c r="G37" s="87" t="str">
        <v>Nine Masts Capital</v>
      </c>
      <c r="H37" s="90" t="str">
        <f>IF(AND($F37="", $G37=""), "",
  _xlfn.IFNA(_xlfn.XLOOKUP($F37, database!$C:$C, database!$I:$I),
  _xlfn.IFNA(_xlfn.XLOOKUP($F37, database!$D:$D, database!$I:$I),
  _xlfn.IFNA(_xlfn.XLOOKUP($G37, database!$C:$C, database!$I:$I),
  _xlfn.IFNA(_xlfn.XLOOKUP($G37, database!$D:$D, database!$I:$I), "")))) &amp; ""
)</f>
        <v/>
      </c>
      <c r="I37" s="87" t="str">
        <f>IF(AND($F37="", $G37=""), "",
  _xlfn.IFNA(_xlfn.XLOOKUP($F37, database!$C:$C, database!$J:$J),
  _xlfn.IFNA(_xlfn.XLOOKUP($F37, database!$D:$D, database!$J:$J),
  _xlfn.IFNA(_xlfn.XLOOKUP($G37, database!$C:$C, database!$J:$J),
  _xlfn.IFNA(_xlfn.XLOOKUP($G37, database!$D:$D, database!$J:$J), "")))) &amp; ""
)</f>
        <v/>
      </c>
      <c r="J37" s="87" t="str">
        <f>IF(AND($F37="", $G37=""), "",
  _xlfn.IFNA(_xlfn.XLOOKUP($F37, database!$C:$C, database!$E:$E),
  _xlfn.IFNA(_xlfn.XLOOKUP($F37, database!$D:$D, database!$E:$E),
  _xlfn.IFNA(_xlfn.XLOOKUP($G37, database!$C:$C, database!$E:$E),
  _xlfn.IFNA(_xlfn.XLOOKUP($G37, database!$D:$D, database!$E:$E), ""))))
)</f>
        <v>多策略基金</v>
      </c>
      <c r="K37" s="87" t="str">
        <f>IF(AND($F37="", $G37=""), "",
  _xlfn.IFNA(_xlfn.XLOOKUP($F37, database!$C:$C, database!$K:$K),
  _xlfn.IFNA(_xlfn.XLOOKUP($F37, database!$D:$D, database!$K:$K),
  _xlfn.IFNA(_xlfn.XLOOKUP($G37, database!$C:$C, database!$K:$K),
  _xlfn.IFNA(_xlfn.XLOOKUP($G37, database!$D:$D, database!$K:$K), "")))) &amp; ""
)</f>
        <v>9亿美元</v>
      </c>
      <c r="L37" s="165" t="str">
        <f>IF(AND($F37="", $G37=""), "",
  _xlfn.IFNA(_xlfn.XLOOKUP($F37, database!$C:$C, database!$F:$F),
  _xlfn.IFNA(_xlfn.XLOOKUP($F37, database!$D:$D, database!$F:$F),
  _xlfn.IFNA(_xlfn.XLOOKUP($G37, database!$C:$C, database!$F:$F),
  _xlfn.IFNA(_xlfn.XLOOKUP($G37, database!$D:$D, database!$F:$F), "")))) &amp; ""
)</f>
        <v>Nine Masts Capital是一家总部位于香港的对冲基金管理公司，由王兵于2010年创立。这家多元策略公司交易多种资产类别，包括股票、信贷、可转换债券、数字资产和外汇，主要在亚洲市场开展业务。其资产管理规模约9亿美元。</v>
      </c>
      <c r="M37" s="105" t="str">
        <f>IF(AND($F37="", $G37=""), "",
  _xlfn.IFNA(_xlfn.XLOOKUP($F37, database!$C:$C, database!$G:$G),
  _xlfn.IFNA(_xlfn.XLOOKUP($F37, database!$D:$D, database!$G:$G),
  _xlfn.IFNA(_xlfn.XLOOKUP($G37, database!$C:$C, database!$G:$G),
  _xlfn.IFNA(_xlfn.XLOOKUP($G37, database!$D:$D, database!$G:$G), "")))) &amp; ""
)</f>
        <v/>
      </c>
      <c r="N37" t="str">
        <f>IF(AND($F37="", $G37=""), "",
   IF(OR(
        IF($F37&lt;&gt;"", COUNTIF(ringfence!A$2:A$10000, "*"&amp;$F37&amp;"*"), 0)&gt;0,
        IF($G37&lt;&gt;"", COUNTIF(ringfence!A$2:A$10000, "*"&amp;$G37&amp;"*"), 0)&gt;0
   ),
   "Yes", "No")
)</f>
        <v>No</v>
      </c>
      <c r="O37" t="str">
        <f>IF(AND($F37="", $G37=""), "",
   IF(OR(
        IF($F37&lt;&gt;"", COUNTIF(ringfence!B$2:B$10000, "*"&amp;$F37&amp;"*"), 0)&gt;0,
        IF($G37&lt;&gt;"", COUNTIF(ringfence!B$2:B$10000, "*"&amp;$G37&amp;"*"), 0)&gt;0
   ),
   "Yes", "No")
)</f>
        <v>No</v>
      </c>
      <c r="P37" t="str">
        <f>IF(AND($F37="", $G37=""), "",
   IF(OR(
        IF($F37&lt;&gt;"", COUNTIF(ringfence!C$2:C$10000, "*"&amp;$F37&amp;"*"), 0)&gt;0,
        IF($G37&lt;&gt;"", COUNTIF(ringfence!C$2:C$10000, "*"&amp;$G37&amp;"*"), 0)&gt;0
   ),
   "Yes", "No")
)</f>
        <v>No</v>
      </c>
      <c r="Q37" t="str">
        <f>IF(AND($F37="", $G37=""), "",
   IF(OR(
        IF($F37&lt;&gt;"", COUNTIF(ringfence!D$2:D$10000, "*"&amp;$F37&amp;"*"), 0)&gt;0,
        IF($G37&lt;&gt;"", COUNTIF(ringfence!D$2:D$10000, "*"&amp;$G37&amp;"*"), 0)&gt;0
   ),
   "Yes", "No")
)</f>
        <v>No</v>
      </c>
      <c r="R37" t="str">
        <f>IF(AND($F37="", $G37=""), "",
   IF(OR(
        IF($F37&lt;&gt;"", COUNTIF(ringfence!E$2:E$10000, "*"&amp;$F37&amp;"*"), 0)&gt;0,
        IF($G37&lt;&gt;"", COUNTIF(ringfence!E$2:E$10000, "*"&amp;$G37&amp;"*"), 0)&gt;0
   ),
   "Yes", "No")
)</f>
        <v>No</v>
      </c>
      <c r="S37" s="87" t="str" cm="1">
        <f t="array" ref="S37">_xlfn.IFS(
    B37="1对1", "1x1",
    B37="1对2", "1x2",
    B37="小组会议", "小组会议",
    TRUE, B37
)</f>
        <v>1x1</v>
      </c>
      <c r="T37" s="32" t="str">
        <f t="shared" ref="T37:T42" si="2">G37 &amp; CHAR(10) &amp; F37</f>
        <v xml:space="preserve">Nine Masts Capital
</v>
      </c>
    </row>
    <row r="38" spans="1:20" ht="85">
      <c r="A38" s="87" t="s">
        <v>1682</v>
      </c>
      <c r="B38" s="88" t="s">
        <v>239</v>
      </c>
      <c r="C38" s="89" t="s">
        <v>240</v>
      </c>
      <c r="D38" s="89" t="s">
        <v>241</v>
      </c>
      <c r="E38" s="94" t="s">
        <v>1972</v>
      </c>
      <c r="F38" s="87" t="str" cm="1">
        <f t="array" ref="F38:G38">IF(E38="","",
_xlfn._xlws.FILTER(
    IF(CompanyName1[]="","",CompanyName1[]),
    (ISNUMBER(SEARCH(E38,CompanyName1[机构名称（英文）]&amp;"")) +
     ISNUMBER(SEARCH(E38,CompanyName1[机构名称（中文）]&amp;"")))&gt;0
))</f>
        <v>一瓢资本</v>
      </c>
      <c r="G38" s="87" t="str">
        <v>Aspoon Capital</v>
      </c>
      <c r="H38" s="90" t="str">
        <f>IF(AND($F38="", $G38=""), "",
  _xlfn.IFNA(_xlfn.XLOOKUP($F38, database!$C:$C, database!$I:$I),
  _xlfn.IFNA(_xlfn.XLOOKUP($F38, database!$D:$D, database!$I:$I),
  _xlfn.IFNA(_xlfn.XLOOKUP($G38, database!$C:$C, database!$I:$I),
  _xlfn.IFNA(_xlfn.XLOOKUP($G38, database!$D:$D, database!$I:$I), "")))) &amp; ""
)</f>
        <v/>
      </c>
      <c r="I38" s="87" t="str">
        <f>IF(AND($F38="", $G38=""), "",
  _xlfn.IFNA(_xlfn.XLOOKUP($F38, database!$C:$C, database!$J:$J),
  _xlfn.IFNA(_xlfn.XLOOKUP($F38, database!$D:$D, database!$J:$J),
  _xlfn.IFNA(_xlfn.XLOOKUP($G38, database!$C:$C, database!$J:$J),
  _xlfn.IFNA(_xlfn.XLOOKUP($G38, database!$D:$D, database!$J:$J), "")))) &amp; ""
)</f>
        <v/>
      </c>
      <c r="J38" s="87" t="str">
        <f>IF(AND($F38="", $G38=""), "",
  _xlfn.IFNA(_xlfn.XLOOKUP($F38, database!$C:$C, database!$E:$E),
  _xlfn.IFNA(_xlfn.XLOOKUP($F38, database!$D:$D, database!$E:$E),
  _xlfn.IFNA(_xlfn.XLOOKUP($G38, database!$C:$C, database!$E:$E),
  _xlfn.IFNA(_xlfn.XLOOKUP($G38, database!$D:$D, database!$E:$E), ""))))
)</f>
        <v>多策略基金</v>
      </c>
      <c r="K38" s="87" t="str">
        <f>IF(AND($F38="", $G38=""), "",
  _xlfn.IFNA(_xlfn.XLOOKUP($F38, database!$C:$C, database!$K:$K),
  _xlfn.IFNA(_xlfn.XLOOKUP($F38, database!$D:$D, database!$K:$K),
  _xlfn.IFNA(_xlfn.XLOOKUP($G38, database!$C:$C, database!$K:$K),
  _xlfn.IFNA(_xlfn.XLOOKUP($G38, database!$D:$D, database!$K:$K), "")))) &amp; ""
)</f>
        <v>5,600美元</v>
      </c>
      <c r="L38" s="165" t="str">
        <f>IF(AND($F38="", $G38=""), "",
  _xlfn.IFNA(_xlfn.XLOOKUP($F38, database!$C:$C, database!$F:$F),
  _xlfn.IFNA(_xlfn.XLOOKUP($F38, database!$D:$D, database!$F:$F),
  _xlfn.IFNA(_xlfn.XLOOKUP($G38, database!$C:$C, database!$F:$F),
  _xlfn.IFNA(_xlfn.XLOOKUP($G38, database!$D:$D, database!$F:$F), "")))) &amp; ""
)</f>
        <v>一瓢资本(Aspoon Capital)是一家总部位于香港的多空策略股票对冲基金，成立于2020年，专注于大中华区市场。公司投资于科技、媒体和电信（TMT）、消费品和工业领域，主要投资于在中国大陆（A股）、香港（H股）和美国存托凭证（ADR）上市的中国及与中国相关的公司。其资产管理规模约为5,600美元。</v>
      </c>
      <c r="M38" s="105" t="str">
        <f>IF(AND($F38="", $G38=""), "",
  _xlfn.IFNA(_xlfn.XLOOKUP($F38, database!$C:$C, database!$G:$G),
  _xlfn.IFNA(_xlfn.XLOOKUP($F38, database!$D:$D, database!$G:$G),
  _xlfn.IFNA(_xlfn.XLOOKUP($G38, database!$C:$C, database!$G:$G),
  _xlfn.IFNA(_xlfn.XLOOKUP($G38, database!$D:$D, database!$G:$G), "")))) &amp; ""
)</f>
        <v/>
      </c>
      <c r="N38" t="str">
        <f>IF(AND($F38="", $G38=""), "",
   IF(OR(
        IF($F38&lt;&gt;"", COUNTIF(ringfence!A$2:A$10000, "*"&amp;$F38&amp;"*"), 0)&gt;0,
        IF($G38&lt;&gt;"", COUNTIF(ringfence!A$2:A$10000, "*"&amp;$G38&amp;"*"), 0)&gt;0
   ),
   "Yes", "No")
)</f>
        <v>No</v>
      </c>
      <c r="O38" t="str">
        <f>IF(AND($F38="", $G38=""), "",
   IF(OR(
        IF($F38&lt;&gt;"", COUNTIF(ringfence!B$2:B$10000, "*"&amp;$F38&amp;"*"), 0)&gt;0,
        IF($G38&lt;&gt;"", COUNTIF(ringfence!B$2:B$10000, "*"&amp;$G38&amp;"*"), 0)&gt;0
   ),
   "Yes", "No")
)</f>
        <v>No</v>
      </c>
      <c r="P38" t="str">
        <f>IF(AND($F38="", $G38=""), "",
   IF(OR(
        IF($F38&lt;&gt;"", COUNTIF(ringfence!C$2:C$10000, "*"&amp;$F38&amp;"*"), 0)&gt;0,
        IF($G38&lt;&gt;"", COUNTIF(ringfence!C$2:C$10000, "*"&amp;$G38&amp;"*"), 0)&gt;0
   ),
   "Yes", "No")
)</f>
        <v>No</v>
      </c>
      <c r="Q38" t="str">
        <f>IF(AND($F38="", $G38=""), "",
   IF(OR(
        IF($F38&lt;&gt;"", COUNTIF(ringfence!D$2:D$10000, "*"&amp;$F38&amp;"*"), 0)&gt;0,
        IF($G38&lt;&gt;"", COUNTIF(ringfence!D$2:D$10000, "*"&amp;$G38&amp;"*"), 0)&gt;0
   ),
   "Yes", "No")
)</f>
        <v>No</v>
      </c>
      <c r="R38" t="str">
        <f>IF(AND($F38="", $G38=""), "",
   IF(OR(
        IF($F38&lt;&gt;"", COUNTIF(ringfence!E$2:E$10000, "*"&amp;$F38&amp;"*"), 0)&gt;0,
        IF($G38&lt;&gt;"", COUNTIF(ringfence!E$2:E$10000, "*"&amp;$G38&amp;"*"), 0)&gt;0
   ),
   "Yes", "No")
)</f>
        <v>No</v>
      </c>
      <c r="S38" s="87" t="str" cm="1">
        <f t="array" ref="S38">_xlfn.IFS(
    B38="1对1", "1x1",
    B38="1对2", "1x2",
    B38="小组会议", "小组会议",
    TRUE, B38
)</f>
        <v>1x1</v>
      </c>
      <c r="T38" s="32" t="str">
        <f t="shared" si="2"/>
        <v>Aspoon Capital
一瓢资本</v>
      </c>
    </row>
    <row r="39" spans="1:20" ht="119">
      <c r="A39" s="87" t="s">
        <v>1877</v>
      </c>
      <c r="B39" s="88" t="s">
        <v>239</v>
      </c>
      <c r="C39" s="89" t="s">
        <v>240</v>
      </c>
      <c r="D39" s="89" t="s">
        <v>241</v>
      </c>
      <c r="E39" s="94" t="s">
        <v>1973</v>
      </c>
      <c r="F39" s="87" t="str" cm="1">
        <f t="array" ref="F39:G39">IF(E39="","",
_xlfn._xlws.FILTER(
    IF(CompanyName1[]="","",CompanyName1[]),
    (ISNUMBER(SEARCH(E39,CompanyName1[机构名称（英文）]&amp;"")) +
     ISNUMBER(SEARCH(E39,CompanyName1[机构名称（中文）]&amp;"")))&gt;0
))</f>
        <v>瑞橡资本</v>
      </c>
      <c r="G39" s="87" t="str">
        <v>Oakwise Capital</v>
      </c>
      <c r="H39" s="90" t="str">
        <f>IF(AND($F39="", $G39=""), "",
  _xlfn.IFNA(_xlfn.XLOOKUP($F39, database!$C:$C, database!$I:$I),
  _xlfn.IFNA(_xlfn.XLOOKUP($F39, database!$D:$D, database!$I:$I),
  _xlfn.IFNA(_xlfn.XLOOKUP($G39, database!$C:$C, database!$I:$I),
  _xlfn.IFNA(_xlfn.XLOOKUP($G39, database!$D:$D, database!$I:$I), "")))) &amp; ""
)</f>
        <v>梁启正（MD）
Felix Huang（权益投资部主管）</v>
      </c>
      <c r="I39" s="87" t="str">
        <f>IF(AND($F39="", $G39=""), "",
  _xlfn.IFNA(_xlfn.XLOOKUP($F39, database!$C:$C, database!$J:$J),
  _xlfn.IFNA(_xlfn.XLOOKUP($F39, database!$D:$D, database!$J:$J),
  _xlfn.IFNA(_xlfn.XLOOKUP($G39, database!$C:$C, database!$J:$J),
  _xlfn.IFNA(_xlfn.XLOOKUP($G39, database!$D:$D, database!$J:$J), "")))) &amp; ""
)</f>
        <v>香港中環干諾道中1號友邦金融中心32樓</v>
      </c>
      <c r="J39" s="87" t="str">
        <f>IF(AND($F39="", $G39=""), "",
  _xlfn.IFNA(_xlfn.XLOOKUP($F39, database!$C:$C, database!$E:$E),
  _xlfn.IFNA(_xlfn.XLOOKUP($F39, database!$D:$D, database!$E:$E),
  _xlfn.IFNA(_xlfn.XLOOKUP($G39, database!$C:$C, database!$E:$E),
  _xlfn.IFNA(_xlfn.XLOOKUP($G39, database!$D:$D, database!$E:$E), ""))))
)</f>
        <v>私募股权</v>
      </c>
      <c r="K39" s="87" t="str">
        <f>IF(AND($F39="", $G39=""), "",
  _xlfn.IFNA(_xlfn.XLOOKUP($F39, database!$C:$C, database!$K:$K),
  _xlfn.IFNA(_xlfn.XLOOKUP($F39, database!$D:$D, database!$K:$K),
  _xlfn.IFNA(_xlfn.XLOOKUP($G39, database!$C:$C, database!$K:$K),
  _xlfn.IFNA(_xlfn.XLOOKUP($G39, database!$D:$D, database!$K:$K), "")))) &amp; ""
)</f>
        <v/>
      </c>
      <c r="L39" s="165" t="str">
        <f>IF(AND($F39="", $G39=""), "",
  _xlfn.IFNA(_xlfn.XLOOKUP($F39, database!$C:$C, database!$F:$F),
  _xlfn.IFNA(_xlfn.XLOOKUP($F39, database!$D:$D, database!$F:$F),
  _xlfn.IFNA(_xlfn.XLOOKUP($G39, database!$C:$C, database!$F:$F),
  _xlfn.IFNA(_xlfn.XLOOKUP($G39, database!$D:$D, database!$F:$F), "")))) &amp; ""
)</f>
        <v>瑞橡资本（Oakwise Capital）是一家在香港证监会注册的资产管理公司，2018年由王风雨博士创立。公司秉承“诚信、专业、稳健、创新”的理念，致力于成为一家风格稳健、业绩优秀、值得信赖的创新型资产管理公司，为机构投资人及高净值人士提供一站式资产管理服务。公司的使命是“投资改变未来”，提供基金、专户及家族办公室等一系列产品及服务，专注投资于大中华地区。客户涵盖央企、城投、金融机构、上市公司、家族办公室及高净值个人等各类投资者。2021年，其资产规模超20亿美元。</v>
      </c>
      <c r="M39" s="105" t="str">
        <f>IF(AND($F39="", $G39=""), "",
  _xlfn.IFNA(_xlfn.XLOOKUP($F39, database!$C:$C, database!$G:$G),
  _xlfn.IFNA(_xlfn.XLOOKUP($F39, database!$D:$D, database!$G:$G),
  _xlfn.IFNA(_xlfn.XLOOKUP($G39, database!$C:$C, database!$G:$G),
  _xlfn.IFNA(_xlfn.XLOOKUP($G39, database!$D:$D, database!$G:$G), "")))) &amp; ""
)</f>
        <v/>
      </c>
      <c r="N39" t="str">
        <f>IF(AND($F39="", $G39=""), "",
   IF(OR(
        IF($F39&lt;&gt;"", COUNTIF(ringfence!A$2:A$10000, "*"&amp;$F39&amp;"*"), 0)&gt;0,
        IF($G39&lt;&gt;"", COUNTIF(ringfence!A$2:A$10000, "*"&amp;$G39&amp;"*"), 0)&gt;0
   ),
   "Yes", "No")
)</f>
        <v>No</v>
      </c>
      <c r="O39" t="str">
        <f>IF(AND($F39="", $G39=""), "",
   IF(OR(
        IF($F39&lt;&gt;"", COUNTIF(ringfence!B$2:B$10000, "*"&amp;$F39&amp;"*"), 0)&gt;0,
        IF($G39&lt;&gt;"", COUNTIF(ringfence!B$2:B$10000, "*"&amp;$G39&amp;"*"), 0)&gt;0
   ),
   "Yes", "No")
)</f>
        <v>No</v>
      </c>
      <c r="P39" t="str">
        <f>IF(AND($F39="", $G39=""), "",
   IF(OR(
        IF($F39&lt;&gt;"", COUNTIF(ringfence!C$2:C$10000, "*"&amp;$F39&amp;"*"), 0)&gt;0,
        IF($G39&lt;&gt;"", COUNTIF(ringfence!C$2:C$10000, "*"&amp;$G39&amp;"*"), 0)&gt;0
   ),
   "Yes", "No")
)</f>
        <v>No</v>
      </c>
      <c r="Q39" t="str">
        <f>IF(AND($F39="", $G39=""), "",
   IF(OR(
        IF($F39&lt;&gt;"", COUNTIF(ringfence!D$2:D$10000, "*"&amp;$F39&amp;"*"), 0)&gt;0,
        IF($G39&lt;&gt;"", COUNTIF(ringfence!D$2:D$10000, "*"&amp;$G39&amp;"*"), 0)&gt;0
   ),
   "Yes", "No")
)</f>
        <v>No</v>
      </c>
      <c r="R39" t="str">
        <f>IF(AND($F39="", $G39=""), "",
   IF(OR(
        IF($F39&lt;&gt;"", COUNTIF(ringfence!E$2:E$10000, "*"&amp;$F39&amp;"*"), 0)&gt;0,
        IF($G39&lt;&gt;"", COUNTIF(ringfence!E$2:E$10000, "*"&amp;$G39&amp;"*"), 0)&gt;0
   ),
   "Yes", "No")
)</f>
        <v>No</v>
      </c>
      <c r="S39" s="87" t="str" cm="1">
        <f t="array" ref="S39">_xlfn.IFS(
    B39="1对1", "1x1",
    B39="1对2", "1x2",
    B39="小组会议", "小组会议",
    TRUE, B39
)</f>
        <v>1x1</v>
      </c>
      <c r="T39" s="32" t="str">
        <f t="shared" si="2"/>
        <v>Oakwise Capital
瑞橡资本</v>
      </c>
    </row>
    <row r="40" spans="1:20" ht="81" customHeight="1">
      <c r="A40" s="87" t="s">
        <v>1878</v>
      </c>
      <c r="B40" s="88" t="s">
        <v>239</v>
      </c>
      <c r="C40" s="89" t="s">
        <v>240</v>
      </c>
      <c r="D40" s="89" t="s">
        <v>241</v>
      </c>
      <c r="E40" s="94" t="s">
        <v>322</v>
      </c>
      <c r="F40" s="87" t="str" cm="1">
        <f t="array" ref="F40:G40">IF(E40="","",
_xlfn._xlws.FILTER(
    IF(CompanyName1[]="","",CompanyName1[]),
    (ISNUMBER(SEARCH(E40,CompanyName1[机构名称（英文）]&amp;"")) +
     ISNUMBER(SEARCH(E40,CompanyName1[机构名称（中文）]&amp;"")))&gt;0
))</f>
        <v>信庭</v>
      </c>
      <c r="G40" s="87" t="str">
        <v>Cithara</v>
      </c>
      <c r="H40" s="90" t="str">
        <f>IF(AND($F40="", $G40=""), "",
  _xlfn.IFNA(_xlfn.XLOOKUP($F40, database!$C:$C, database!$I:$I),
  _xlfn.IFNA(_xlfn.XLOOKUP($F40, database!$D:$D, database!$I:$I),
  _xlfn.IFNA(_xlfn.XLOOKUP($G40, database!$C:$C, database!$I:$I),
  _xlfn.IFNA(_xlfn.XLOOKUP($G40, database!$D:$D, database!$I:$I), "")))) &amp; ""
)</f>
        <v>Justin Zhang（创始人）
王辉（董事总经理）</v>
      </c>
      <c r="I40" s="87" t="str">
        <f>IF(AND($F40="", $G40=""), "",
  _xlfn.IFNA(_xlfn.XLOOKUP($F40, database!$C:$C, database!$J:$J),
  _xlfn.IFNA(_xlfn.XLOOKUP($F40, database!$D:$D, database!$J:$J),
  _xlfn.IFNA(_xlfn.XLOOKUP($G40, database!$C:$C, database!$J:$J),
  _xlfn.IFNA(_xlfn.XLOOKUP($G40, database!$D:$D, database!$J:$J), "")))) &amp; ""
)</f>
        <v>中环花园道 3 号中国工商银行大厦 36 楼 3607-08室</v>
      </c>
      <c r="J40" s="87" t="str">
        <f>IF(AND($F40="", $G40=""), "",
  _xlfn.IFNA(_xlfn.XLOOKUP($F40, database!$C:$C, database!$E:$E),
  _xlfn.IFNA(_xlfn.XLOOKUP($F40, database!$D:$D, database!$E:$E),
  _xlfn.IFNA(_xlfn.XLOOKUP($G40, database!$C:$C, database!$E:$E),
  _xlfn.IFNA(_xlfn.XLOOKUP($G40, database!$D:$D, database!$E:$E), ""))))
)</f>
        <v>多策略基金</v>
      </c>
      <c r="K40" s="87" t="str">
        <f>IF(AND($F40="", $G40=""), "",
  _xlfn.IFNA(_xlfn.XLOOKUP($F40, database!$C:$C, database!$K:$K),
  _xlfn.IFNA(_xlfn.XLOOKUP($F40, database!$D:$D, database!$K:$K),
  _xlfn.IFNA(_xlfn.XLOOKUP($G40, database!$C:$C, database!$K:$K),
  _xlfn.IFNA(_xlfn.XLOOKUP($G40, database!$D:$D, database!$K:$K), "")))) &amp; ""
)</f>
        <v>超过20亿人民币</v>
      </c>
      <c r="L40" s="165" t="str">
        <f>IF(AND($F40="", $G40=""), "",
  _xlfn.IFNA(_xlfn.XLOOKUP($F40, database!$C:$C, database!$F:$F),
  _xlfn.IFNA(_xlfn.XLOOKUP($F40, database!$D:$D, database!$F:$F),
  _xlfn.IFNA(_xlfn.XLOOKUP($G40, database!$C:$C, database!$F:$F),
  _xlfn.IFNA(_xlfn.XLOOKUP($G40, database!$D:$D, database!$F:$F), "")))) &amp; ""
)</f>
        <v>信庭（Cithara）是一家资产管理公司。 通过提供定制的投资和融资解决方案满足各种客户的需求。其涵盖各种资产类别，如固定收益，股票，外汇，商品，衍生品和私募/创投基金。 投资策略包括但不限于绝对收益，固定收益，收益增强，特殊情况以及风险/估值套利。 除二级市场外，信庭还通过组合型基金和单一项目联合的形式进行投资，重点布局科技（含电讯基础设施）及医疗健康领域的私募股权标的。管理资产超过20亿人民币</v>
      </c>
      <c r="M40" s="105" t="str">
        <f>IF(AND($F40="", $G40=""), "",
  _xlfn.IFNA(_xlfn.XLOOKUP($F40, database!$C:$C, database!$G:$G),
  _xlfn.IFNA(_xlfn.XLOOKUP($F40, database!$D:$D, database!$G:$G),
  _xlfn.IFNA(_xlfn.XLOOKUP($G40, database!$C:$C, database!$G:$G),
  _xlfn.IFNA(_xlfn.XLOOKUP($G40, database!$D:$D, database!$G:$G), "")))) &amp; ""
)</f>
        <v>长光辰芯、迅策、卧安机器人、HASHKEY HLDGS、剑桥科技、不同集团</v>
      </c>
      <c r="N40" t="str">
        <f>IF(AND($F40="", $G40=""), "",
   IF(OR(
        IF($F40&lt;&gt;"", COUNTIF(ringfence!A$2:A$10000, "*"&amp;$F40&amp;"*"), 0)&gt;0,
        IF($G40&lt;&gt;"", COUNTIF(ringfence!A$2:A$10000, "*"&amp;$G40&amp;"*"), 0)&gt;0
   ),
   "Yes", "No")
)</f>
        <v>No</v>
      </c>
      <c r="O40" t="str">
        <f>IF(AND($F40="", $G40=""), "",
   IF(OR(
        IF($F40&lt;&gt;"", COUNTIF(ringfence!B$2:B$10000, "*"&amp;$F40&amp;"*"), 0)&gt;0,
        IF($G40&lt;&gt;"", COUNTIF(ringfence!B$2:B$10000, "*"&amp;$G40&amp;"*"), 0)&gt;0
   ),
   "Yes", "No")
)</f>
        <v>No</v>
      </c>
      <c r="P40" t="str">
        <f>IF(AND($F40="", $G40=""), "",
   IF(OR(
        IF($F40&lt;&gt;"", COUNTIF(ringfence!C$2:C$10000, "*"&amp;$F40&amp;"*"), 0)&gt;0,
        IF($G40&lt;&gt;"", COUNTIF(ringfence!C$2:C$10000, "*"&amp;$G40&amp;"*"), 0)&gt;0
   ),
   "Yes", "No")
)</f>
        <v>No</v>
      </c>
      <c r="Q40" t="str">
        <f>IF(AND($F40="", $G40=""), "",
   IF(OR(
        IF($F40&lt;&gt;"", COUNTIF(ringfence!D$2:D$10000, "*"&amp;$F40&amp;"*"), 0)&gt;0,
        IF($G40&lt;&gt;"", COUNTIF(ringfence!D$2:D$10000, "*"&amp;$G40&amp;"*"), 0)&gt;0
   ),
   "Yes", "No")
)</f>
        <v>No</v>
      </c>
      <c r="R40" t="str">
        <f>IF(AND($F40="", $G40=""), "",
   IF(OR(
        IF($F40&lt;&gt;"", COUNTIF(ringfence!E$2:E$10000, "*"&amp;$F40&amp;"*"), 0)&gt;0,
        IF($G40&lt;&gt;"", COUNTIF(ringfence!E$2:E$10000, "*"&amp;$G40&amp;"*"), 0)&gt;0
   ),
   "Yes", "No")
)</f>
        <v>No</v>
      </c>
      <c r="S40" s="87" t="str" cm="1">
        <f t="array" ref="S40">_xlfn.IFS(
    B40="1对1", "1x1",
    B40="1对2", "1x2",
    B40="小组会议", "小组会议",
    TRUE, B40
)</f>
        <v>1x1</v>
      </c>
      <c r="T40" s="32" t="str">
        <f t="shared" si="2"/>
        <v>Cithara
信庭</v>
      </c>
    </row>
    <row r="41" spans="1:20" ht="68">
      <c r="A41" s="87" t="s">
        <v>1879</v>
      </c>
      <c r="B41" s="88" t="s">
        <v>239</v>
      </c>
      <c r="C41" s="89" t="s">
        <v>240</v>
      </c>
      <c r="D41" s="89" t="s">
        <v>241</v>
      </c>
      <c r="E41" s="104" t="s">
        <v>2067</v>
      </c>
      <c r="F41" s="87" t="str" cm="1">
        <f t="array" ref="F41:G41">IF(E41="","",
_xlfn._xlws.FILTER(
    IF(CompanyName1[]="","",CompanyName1[]),
    (ISNUMBER(SEARCH(E41,CompanyName1[机构名称（英文）]&amp;"")) +
     ISNUMBER(SEARCH(E41,CompanyName1[机构名称（中文）]&amp;"")))&gt;0
))</f>
        <v>君宜资本</v>
      </c>
      <c r="G41" s="87" t="str">
        <v>Dream'ee Capital</v>
      </c>
      <c r="H41" s="90" t="str">
        <f>IF(AND($F41="", $G41=""), "",
  _xlfn.IFNA(_xlfn.XLOOKUP($F41, database!$C:$C, database!$I:$I),
  _xlfn.IFNA(_xlfn.XLOOKUP($F41, database!$D:$D, database!$I:$I),
  _xlfn.IFNA(_xlfn.XLOOKUP($G41, database!$C:$C, database!$I:$I),
  _xlfn.IFNA(_xlfn.XLOOKUP($G41, database!$D:$D, database!$I:$I), "")))) &amp; ""
)</f>
        <v/>
      </c>
      <c r="I41" s="87" t="str">
        <f>IF(AND($F41="", $G41=""), "",
  _xlfn.IFNA(_xlfn.XLOOKUP($F41, database!$C:$C, database!$J:$J),
  _xlfn.IFNA(_xlfn.XLOOKUP($F41, database!$D:$D, database!$J:$J),
  _xlfn.IFNA(_xlfn.XLOOKUP($G41, database!$C:$C, database!$J:$J),
  _xlfn.IFNA(_xlfn.XLOOKUP($G41, database!$D:$D, database!$J:$J), "")))) &amp; ""
)</f>
        <v/>
      </c>
      <c r="J41" s="87" t="str">
        <f>IF(AND($F41="", $G41=""), "",
  _xlfn.IFNA(_xlfn.XLOOKUP($F41, database!$C:$C, database!$E:$E),
  _xlfn.IFNA(_xlfn.XLOOKUP($F41, database!$D:$D, database!$E:$E),
  _xlfn.IFNA(_xlfn.XLOOKUP($G41, database!$C:$C, database!$E:$E),
  _xlfn.IFNA(_xlfn.XLOOKUP($G41, database!$D:$D, database!$E:$E), ""))))
)</f>
        <v>私募股权</v>
      </c>
      <c r="K41" s="87" t="str">
        <f>IF(AND($F41="", $G41=""), "",
  _xlfn.IFNA(_xlfn.XLOOKUP($F41, database!$C:$C, database!$K:$K),
  _xlfn.IFNA(_xlfn.XLOOKUP($F41, database!$D:$D, database!$K:$K),
  _xlfn.IFNA(_xlfn.XLOOKUP($G41, database!$C:$C, database!$K:$K),
  _xlfn.IFNA(_xlfn.XLOOKUP($G41, database!$D:$D, database!$K:$K), "")))) &amp; ""
)</f>
        <v/>
      </c>
      <c r="L41" s="165" t="str">
        <f>IF(AND($F41="", $G41=""), "",
  _xlfn.IFNA(_xlfn.XLOOKUP($F41, database!$C:$C, database!$F:$F),
  _xlfn.IFNA(_xlfn.XLOOKUP($F41, database!$D:$D, database!$F:$F),
  _xlfn.IFNA(_xlfn.XLOOKUP($G41, database!$C:$C, database!$F:$F),
  _xlfn.IFNA(_xlfn.XLOOKUP($G41, database!$D:$D, database!$F:$F), "")))) &amp; ""
)</f>
        <v>君宜香港资本有限公司（Dream'ee (Hong Kong) Capital Limited）是一家在香港持牌的金融机构，受香港证券及期货事务监察委员会（证监会）监管。其主要业务包括企业融资、二级股权市场投资、首次公开募股（IPO）、债券及衍生品交易。</v>
      </c>
      <c r="M41" s="105" t="str">
        <f>IF(AND($F41="", $G41=""), "",
  _xlfn.IFNA(_xlfn.XLOOKUP($F41, database!$C:$C, database!$G:$G),
  _xlfn.IFNA(_xlfn.XLOOKUP($F41, database!$D:$D, database!$G:$G),
  _xlfn.IFNA(_xlfn.XLOOKUP($G41, database!$C:$C, database!$G:$G),
  _xlfn.IFNA(_xlfn.XLOOKUP($G41, database!$D:$D, database!$G:$G), "")))) &amp; ""
)</f>
        <v/>
      </c>
      <c r="N41" t="str">
        <f>IF(AND($F41="", $G41=""), "",
   IF(OR(
        IF($F41&lt;&gt;"", COUNTIF(ringfence!A$2:A$10000, "*"&amp;$F41&amp;"*"), 0)&gt;0,
        IF($G41&lt;&gt;"", COUNTIF(ringfence!A$2:A$10000, "*"&amp;$G41&amp;"*"), 0)&gt;0
   ),
   "Yes", "No")
)</f>
        <v>No</v>
      </c>
      <c r="O41" t="str">
        <f>IF(AND($F41="", $G41=""), "",
   IF(OR(
        IF($F41&lt;&gt;"", COUNTIF(ringfence!B$2:B$10000, "*"&amp;$F41&amp;"*"), 0)&gt;0,
        IF($G41&lt;&gt;"", COUNTIF(ringfence!B$2:B$10000, "*"&amp;$G41&amp;"*"), 0)&gt;0
   ),
   "Yes", "No")
)</f>
        <v>No</v>
      </c>
      <c r="P41" t="str">
        <f>IF(AND($F41="", $G41=""), "",
   IF(OR(
        IF($F41&lt;&gt;"", COUNTIF(ringfence!C$2:C$10000, "*"&amp;$F41&amp;"*"), 0)&gt;0,
        IF($G41&lt;&gt;"", COUNTIF(ringfence!C$2:C$10000, "*"&amp;$G41&amp;"*"), 0)&gt;0
   ),
   "Yes", "No")
)</f>
        <v>No</v>
      </c>
      <c r="Q41" t="str">
        <f>IF(AND($F41="", $G41=""), "",
   IF(OR(
        IF($F41&lt;&gt;"", COUNTIF(ringfence!D$2:D$10000, "*"&amp;$F41&amp;"*"), 0)&gt;0,
        IF($G41&lt;&gt;"", COUNTIF(ringfence!D$2:D$10000, "*"&amp;$G41&amp;"*"), 0)&gt;0
   ),
   "Yes", "No")
)</f>
        <v>No</v>
      </c>
      <c r="R41" t="str">
        <f>IF(AND($F41="", $G41=""), "",
   IF(OR(
        IF($F41&lt;&gt;"", COUNTIF(ringfence!E$2:E$10000, "*"&amp;$F41&amp;"*"), 0)&gt;0,
        IF($G41&lt;&gt;"", COUNTIF(ringfence!E$2:E$10000, "*"&amp;$G41&amp;"*"), 0)&gt;0
   ),
   "Yes", "No")
)</f>
        <v>No</v>
      </c>
      <c r="S41" s="87" t="str" cm="1">
        <f t="array" ref="S41">_xlfn.IFS(
    B41="1对1", "1x1",
    B41="1对2", "1x2",
    B41="小组会议", "小组会议",
    TRUE, B41
)</f>
        <v>1x1</v>
      </c>
      <c r="T41" s="32" t="str">
        <f t="shared" si="2"/>
        <v>Dream'ee Capital
君宜资本</v>
      </c>
    </row>
    <row r="42" spans="1:20" ht="30.25" customHeight="1">
      <c r="A42" s="87"/>
      <c r="B42" s="88"/>
      <c r="C42" s="89"/>
      <c r="D42" s="89"/>
      <c r="E42" s="104" t="s">
        <v>2071</v>
      </c>
      <c r="F42" s="87" t="str" cm="1">
        <f t="array" ref="F42:G42">IF(E42="","",
_xlfn._xlws.FILTER(
    IF(CompanyName1[]="","",CompanyName1[]),
    (ISNUMBER(SEARCH(E42,CompanyName1[机构名称（英文）]&amp;"")) +
     ISNUMBER(SEARCH(E42,CompanyName1[机构名称（中文）]&amp;"")))&gt;0
))</f>
        <v>中国人寿富兰克林</v>
      </c>
      <c r="G42" s="87" t="str">
        <v>China Life Franklin</v>
      </c>
      <c r="H42" s="90" t="str">
        <f>IF(AND($F42="", $G42=""), "",
  _xlfn.IFNA(_xlfn.XLOOKUP($F42, database!$C:$C, database!$I:$I),
  _xlfn.IFNA(_xlfn.XLOOKUP($F42, database!$D:$D, database!$I:$I),
  _xlfn.IFNA(_xlfn.XLOOKUP($G42, database!$C:$C, database!$I:$I),
  _xlfn.IFNA(_xlfn.XLOOKUP($G42, database!$D:$D, database!$I:$I), "")))) &amp; ""
)</f>
        <v>Cathy Luo（基金经理）
齐凡（ECM负责人）</v>
      </c>
      <c r="I42" s="87" t="str">
        <f>IF(AND($F42="", $G42=""), "",
  _xlfn.IFNA(_xlfn.XLOOKUP($F42, database!$C:$C, database!$J:$J),
  _xlfn.IFNA(_xlfn.XLOOKUP($F42, database!$D:$D, database!$J:$J),
  _xlfn.IFNA(_xlfn.XLOOKUP($G42, database!$C:$C, database!$J:$J),
  _xlfn.IFNA(_xlfn.XLOOKUP($G42, database!$D:$D, database!$J:$J), "")))) &amp; ""
)</f>
        <v/>
      </c>
      <c r="J42" s="87" t="str">
        <f>IF(AND($F42="", $G42=""), "",
  _xlfn.IFNA(_xlfn.XLOOKUP($F42, database!$C:$C, database!$E:$E),
  _xlfn.IFNA(_xlfn.XLOOKUP($F42, database!$D:$D, database!$E:$E),
  _xlfn.IFNA(_xlfn.XLOOKUP($G42, database!$C:$C, database!$E:$E),
  _xlfn.IFNA(_xlfn.XLOOKUP($G42, database!$D:$D, database!$E:$E), ""))))
)</f>
        <v>中资长线</v>
      </c>
      <c r="K42" s="87" t="str">
        <f>IF(AND($F42="", $G42=""), "",
  _xlfn.IFNA(_xlfn.XLOOKUP($F42, database!$C:$C, database!$K:$K),
  _xlfn.IFNA(_xlfn.XLOOKUP($F42, database!$D:$D, database!$K:$K),
  _xlfn.IFNA(_xlfn.XLOOKUP($G42, database!$C:$C, database!$K:$K),
  _xlfn.IFNA(_xlfn.XLOOKUP($G42, database!$D:$D, database!$K:$K), "")))) &amp; ""
)</f>
        <v/>
      </c>
      <c r="L42" s="165" t="str">
        <f>IF(AND($F42="", $G42=""), "",
  _xlfn.IFNA(_xlfn.XLOOKUP($F42, database!$C:$C, database!$F:$F),
  _xlfn.IFNA(_xlfn.XLOOKUP($F42, database!$D:$D, database!$F:$F),
  _xlfn.IFNA(_xlfn.XLOOKUP($G42, database!$C:$C, database!$F:$F),
  _xlfn.IFNA(_xlfn.XLOOKUP($G42, database!$D:$D, database!$F:$F), "")))) &amp; ""
)</f>
        <v>中国人寿富蘭克林（China Life Franklin）成立于2003年，是由中国人寿保险和富兰克林邓普顿投资集团（Franklin Templeton）共同成立的合资公司，专注于资产管理业务，服务对象包括机构投资者和个人投资者，并提供多元化的投资产品和解决方案。基金秉持长期投资、风险控制和价值投资的理念，致力于为客户创造持续回报，投资策略结合全球市场经验与本地洞察，提供定制化投资方案</v>
      </c>
      <c r="M42" s="105" t="str">
        <f>IF(AND($F42="", $G42=""), "",
  _xlfn.IFNA(_xlfn.XLOOKUP($F42, database!$C:$C, database!$G:$G),
  _xlfn.IFNA(_xlfn.XLOOKUP($F42, database!$D:$D, database!$G:$G),
  _xlfn.IFNA(_xlfn.XLOOKUP($G42, database!$C:$C, database!$G:$G),
  _xlfn.IFNA(_xlfn.XLOOKUP($G42, database!$D:$D, database!$G:$G), "")))) &amp; ""
)</f>
        <v>中银航空租赁、国联证券、联想控股、三生制药</v>
      </c>
      <c r="N42" t="str">
        <f>IF(AND($F42="", $G42=""), "",
   IF(OR(
        IF($F42&lt;&gt;"", COUNTIF(ringfence!A$2:A$10000, "*"&amp;$F42&amp;"*"), 0)&gt;0,
        IF($G42&lt;&gt;"", COUNTIF(ringfence!A$2:A$10000, "*"&amp;$G42&amp;"*"), 0)&gt;0
   ),
   "Yes", "No")
)</f>
        <v>No</v>
      </c>
      <c r="O42" t="str">
        <f>IF(AND($F42="", $G42=""), "",
   IF(OR(
        IF($F42&lt;&gt;"", COUNTIF(ringfence!B$2:B$10000, "*"&amp;$F42&amp;"*"), 0)&gt;0,
        IF($G42&lt;&gt;"", COUNTIF(ringfence!B$2:B$10000, "*"&amp;$G42&amp;"*"), 0)&gt;0
   ),
   "Yes", "No")
)</f>
        <v>No</v>
      </c>
      <c r="P42" t="str">
        <f>IF(AND($F42="", $G42=""), "",
   IF(OR(
        IF($F42&lt;&gt;"", COUNTIF(ringfence!C$2:C$10000, "*"&amp;$F42&amp;"*"), 0)&gt;0,
        IF($G42&lt;&gt;"", COUNTIF(ringfence!C$2:C$10000, "*"&amp;$G42&amp;"*"), 0)&gt;0
   ),
   "Yes", "No")
)</f>
        <v>No</v>
      </c>
      <c r="Q42" t="str">
        <f>IF(AND($F42="", $G42=""), "",
   IF(OR(
        IF($F42&lt;&gt;"", COUNTIF(ringfence!D$2:D$10000, "*"&amp;$F42&amp;"*"), 0)&gt;0,
        IF($G42&lt;&gt;"", COUNTIF(ringfence!D$2:D$10000, "*"&amp;$G42&amp;"*"), 0)&gt;0
   ),
   "Yes", "No")
)</f>
        <v>No</v>
      </c>
      <c r="R42" t="str">
        <f>IF(AND($F42="", $G42=""), "",
   IF(OR(
        IF($F42&lt;&gt;"", COUNTIF(ringfence!E$2:E$10000, "*"&amp;$F42&amp;"*"), 0)&gt;0,
        IF($G42&lt;&gt;"", COUNTIF(ringfence!E$2:E$10000, "*"&amp;$G42&amp;"*"), 0)&gt;0
   ),
   "Yes", "No")
)</f>
        <v>No</v>
      </c>
      <c r="S42" s="87" cm="1">
        <f t="array" ref="S42">_xlfn.IFS(
    B42="1对1", "1x1",
    B42="1对2", "1x2",
    B42="小组会议", "小组会议",
    TRUE, B42
)</f>
        <v>0</v>
      </c>
      <c r="T42" s="32" t="str">
        <f t="shared" si="2"/>
        <v>China Life Franklin
中国人寿富兰克林</v>
      </c>
    </row>
    <row r="43" spans="1:20" ht="19" customHeight="1">
      <c r="Q43" s="162"/>
      <c r="S43" s="87"/>
    </row>
    <row r="44" spans="1:20" ht="30.25" customHeight="1">
      <c r="A44" s="73" t="s">
        <v>258</v>
      </c>
      <c r="Q44" s="14"/>
      <c r="S44" s="87"/>
    </row>
    <row r="45" spans="1:20" ht="30.25" customHeight="1">
      <c r="A45" s="96" t="s">
        <v>100</v>
      </c>
      <c r="B45" s="92">
        <v>46163</v>
      </c>
      <c r="C45" s="33"/>
      <c r="Q45" s="14"/>
      <c r="S45" s="87"/>
    </row>
    <row r="46" spans="1:20" ht="20" customHeight="1">
      <c r="A46" s="97" t="s">
        <v>101</v>
      </c>
      <c r="B46" s="86" t="s">
        <v>1680</v>
      </c>
      <c r="C46" s="33"/>
      <c r="D46" s="33"/>
      <c r="E46" s="33"/>
      <c r="F46" s="33"/>
      <c r="G46" s="33"/>
      <c r="Q46" s="14"/>
      <c r="S46" s="87"/>
    </row>
    <row r="47" spans="1:20" ht="30.25" customHeight="1">
      <c r="A47" s="85" t="s">
        <v>230</v>
      </c>
      <c r="B47" s="85" t="s">
        <v>1108</v>
      </c>
      <c r="C47" s="85" t="s">
        <v>1109</v>
      </c>
      <c r="D47" s="85" t="s">
        <v>1110</v>
      </c>
      <c r="E47" s="100" t="s">
        <v>1111</v>
      </c>
      <c r="F47" s="85" t="s">
        <v>1100</v>
      </c>
      <c r="G47" s="85" t="s">
        <v>1101</v>
      </c>
      <c r="H47" s="85" t="s">
        <v>234</v>
      </c>
      <c r="I47" s="85" t="s">
        <v>235</v>
      </c>
      <c r="J47" s="85" t="s">
        <v>236</v>
      </c>
      <c r="K47" s="85" t="s">
        <v>237</v>
      </c>
      <c r="L47" s="85" t="s">
        <v>238</v>
      </c>
      <c r="M47" s="85" t="s">
        <v>1112</v>
      </c>
      <c r="N47" s="85" t="str">
        <f>"In " &amp;ringfence!A$1&amp; " ringfence?"</f>
        <v>In CMS ringfence?</v>
      </c>
      <c r="O47" s="85" t="str">
        <f>"In " &amp;ringfence!B$1&amp; " ringfence?"</f>
        <v>In 银河 ringfence?</v>
      </c>
      <c r="P47" s="85" t="str">
        <f>"In " &amp;ringfence!C$1&amp; " ringfence?"</f>
        <v>In Bank3 ringfence?</v>
      </c>
      <c r="Q47" s="85" t="str">
        <f>"In " &amp;ringfence!D$1&amp; " ringfence?"</f>
        <v>In Bank4 ringfence?</v>
      </c>
      <c r="R47" s="85" t="str">
        <f>"In " &amp;ringfence!E$1&amp; " ringfence?"</f>
        <v>In Bank5 ringfence?</v>
      </c>
      <c r="S47" s="87" t="s">
        <v>1614</v>
      </c>
      <c r="T47" s="87" t="s">
        <v>1614</v>
      </c>
    </row>
    <row r="48" spans="1:20" ht="119">
      <c r="A48" s="87" t="s">
        <v>1681</v>
      </c>
      <c r="B48" s="88" t="s">
        <v>239</v>
      </c>
      <c r="C48" s="89" t="s">
        <v>240</v>
      </c>
      <c r="D48" s="89" t="s">
        <v>241</v>
      </c>
      <c r="E48" s="97" t="s">
        <v>2072</v>
      </c>
      <c r="F48" s="87" t="str" cm="1">
        <f t="array" ref="F48:G48">IF(E48="","",
_xlfn._xlws.FILTER(
    IF(CompanyName1[]="","",CompanyName1[]),
    (ISNUMBER(SEARCH(E48,CompanyName1[机构名称（英文）]&amp;"")) +
     ISNUMBER(SEARCH(E48,CompanyName1[机构名称（中文）]&amp;"")))&gt;0
))</f>
        <v/>
      </c>
      <c r="G48" s="87" t="str">
        <v>Ghisallo</v>
      </c>
      <c r="H48" s="90" t="str">
        <f>IF(AND($F48="", $G48=""), "",
  _xlfn.IFNA(_xlfn.XLOOKUP($F48, database!$C:$C, database!$I:$I),
  _xlfn.IFNA(_xlfn.XLOOKUP($F48, database!$D:$D, database!$I:$I),
  _xlfn.IFNA(_xlfn.XLOOKUP($G48, database!$C:$C, database!$I:$I),
  _xlfn.IFNA(_xlfn.XLOOKUP($G48, database!$D:$D, database!$I:$I), "")))) &amp; ""
)</f>
        <v>Ho Kun Lin 
（ECM业务负责人）
Philippe Ziegler
（基金经理）
Vivian Lau
（资深分析师）</v>
      </c>
      <c r="I48" s="87" t="str">
        <f>IF(AND($F48="", $G48=""), "",
  _xlfn.IFNA(_xlfn.XLOOKUP($F48, database!$C:$C, database!$J:$J),
  _xlfn.IFNA(_xlfn.XLOOKUP($F48, database!$D:$D, database!$J:$J),
  _xlfn.IFNA(_xlfn.XLOOKUP($G48, database!$C:$C, database!$J:$J),
  _xlfn.IFNA(_xlfn.XLOOKUP($G48, database!$D:$D, database!$J:$J), "")))) &amp; ""
)</f>
        <v/>
      </c>
      <c r="J48" s="87" t="str">
        <f>IF($G48="","",
   _xlfn.IFNA(
      _xlfn.XLOOKUP($G48, database!$C:$C, database!$E:$E) &amp; "",
      _xlfn.XLOOKUP($G48, database!$D:$D, database!$E:$E, "") &amp; ""
   )
)</f>
        <v>多策略基金</v>
      </c>
      <c r="K48" s="87" t="str">
        <f>IF(AND($F48="", $G48=""), "",
  _xlfn.IFNA(_xlfn.XLOOKUP($F48, database!$C:$C, database!$K:$K),
  _xlfn.IFNA(_xlfn.XLOOKUP($F48, database!$D:$D, database!$K:$K),
  _xlfn.IFNA(_xlfn.XLOOKUP($G48, database!$C:$C, database!$K:$K),
  _xlfn.IFNA(_xlfn.XLOOKUP($G48, database!$D:$D, database!$K:$K), "")))) &amp; ""
)</f>
        <v/>
      </c>
      <c r="L48" s="165" t="str">
        <f>IF(AND($F48="", $G48=""), "",
  _xlfn.IFNA(_xlfn.XLOOKUP($F48, database!$C:$C, database!$F:$F),
  _xlfn.IFNA(_xlfn.XLOOKUP($F48, database!$D:$D, database!$F:$F),
  _xlfn.IFNA(_xlfn.XLOOKUP($G48, database!$C:$C, database!$F:$F),
  _xlfn.IFNA(_xlfn.XLOOKUP($G48, database!$D:$D, database!$F:$F), "")))) &amp; ""
)</f>
        <v>Ghisallo是一家总部位于马萨诸塞州波士顿的对冲基金，专注于全球投资。他们采用多学科方法，并利用各种策略，包括全球宏观、多头/空头股票、信贷、不良信贷、事件驱动和相对价值投资。Ghisallo采取长短仓策略配置资产、分散风险，但同样注重公司基本面，在投资过程中会采用自下而上的方法对公司进行研究分析，并看重与管理层会面直接沟通探讨，是中国IPO市场最活跃的对冲基金之一 该公司最近在香港设立了办事处，并积极扩大其在亚太地区的业务。Ghisallo的资产管理规模为80亿美元</v>
      </c>
      <c r="M48" s="105" t="str">
        <f>IF(AND($F48="", $G48=""), "",
  _xlfn.IFNA(_xlfn.XLOOKUP($F48, database!$C:$C, database!$G:$G),
  _xlfn.IFNA(_xlfn.XLOOKUP($F48, database!$D:$D, database!$G:$G),
  _xlfn.IFNA(_xlfn.XLOOKUP($G48, database!$C:$C, database!$G:$G),
  _xlfn.IFNA(_xlfn.XLOOKUP($G48, database!$D:$D, database!$G:$G), "")))) &amp; ""
)</f>
        <v>顺丰控股、华润饮料</v>
      </c>
      <c r="N48" t="str">
        <f>IF(AND($F48="", $G48=""), "",
   IF(OR(
        IF($F48&lt;&gt;"", COUNTIF(ringfence!A$2:A$10000, "*"&amp;$F48&amp;"*"), 0)&gt;0,
        IF($G48&lt;&gt;"", COUNTIF(ringfence!A$2:A$10000, "*"&amp;$G48&amp;"*"), 0)&gt;0
   ),
   "Yes", "No")
)</f>
        <v>No</v>
      </c>
      <c r="O48" t="str">
        <f>IF(AND($F48="", $G48=""), "",
   IF(OR(
        IF($F48&lt;&gt;"", COUNTIF(ringfence!B$2:B$10000, "*"&amp;$F48&amp;"*"), 0)&gt;0,
        IF($G48&lt;&gt;"", COUNTIF(ringfence!B$2:B$10000, "*"&amp;$G48&amp;"*"), 0)&gt;0
   ),
   "Yes", "No")
)</f>
        <v>No</v>
      </c>
      <c r="P48" t="str">
        <f>IF(AND($F48="", $G48=""), "",
   IF(OR(
        IF($F48&lt;&gt;"", COUNTIF(ringfence!C$2:C$10000, "*"&amp;$F48&amp;"*"), 0)&gt;0,
        IF($G48&lt;&gt;"", COUNTIF(ringfence!C$2:C$10000, "*"&amp;$G48&amp;"*"), 0)&gt;0
   ),
   "Yes", "No")
)</f>
        <v>No</v>
      </c>
      <c r="Q48" t="str">
        <f>IF(AND($F48="", $G48=""), "",
   IF(OR(
        IF($F48&lt;&gt;"", COUNTIF(ringfence!D$2:D$10000, "*"&amp;$F48&amp;"*"), 0)&gt;0,
        IF($G48&lt;&gt;"", COUNTIF(ringfence!D$2:D$10000, "*"&amp;$G48&amp;"*"), 0)&gt;0
   ),
   "Yes", "No")
)</f>
        <v>No</v>
      </c>
      <c r="R48" t="str">
        <f>IF(AND($F48="", $G48=""), "",
   IF(OR(
        IF($F48&lt;&gt;"", COUNTIF(ringfence!E$2:E$10000, "*"&amp;$F48&amp;"*"), 0)&gt;0,
        IF($G48&lt;&gt;"", COUNTIF(ringfence!E$2:E$10000, "*"&amp;$G48&amp;"*"), 0)&gt;0
   ),
   "Yes", "No")
)</f>
        <v>No</v>
      </c>
      <c r="S48" s="87" t="str" cm="1">
        <f t="array" ref="S48">_xlfn.IFS(
    B48="1对1", "1x1",
    B48="1对2", "1x2",
    B48="小组会议", "小组会议",
    TRUE, B48
)</f>
        <v>1x1</v>
      </c>
      <c r="T48" s="32" t="str">
        <f t="shared" ref="T48:T53" si="3">G48 &amp; CHAR(10) &amp; F48</f>
        <v xml:space="preserve">Ghisallo
</v>
      </c>
    </row>
    <row r="49" spans="1:20" ht="136">
      <c r="A49" s="87" t="s">
        <v>1682</v>
      </c>
      <c r="B49" s="88" t="s">
        <v>239</v>
      </c>
      <c r="C49" s="89" t="s">
        <v>240</v>
      </c>
      <c r="D49" s="89" t="s">
        <v>241</v>
      </c>
      <c r="E49" s="97" t="s">
        <v>2073</v>
      </c>
      <c r="F49" s="87" t="str" cm="1">
        <f t="array" ref="F49:G49">IF(E49="","",
_xlfn._xlws.FILTER(
    IF(CompanyName1[]="","",CompanyName1[]),
    (ISNUMBER(SEARCH(E49,CompanyName1[机构名称（英文）]&amp;"")) +
     ISNUMBER(SEARCH(E49,CompanyName1[机构名称（中文）]&amp;"")))&gt;0
))</f>
        <v>泰康资管</v>
      </c>
      <c r="G49" s="87" t="str">
        <v>Taikang AM</v>
      </c>
      <c r="H49" s="90" t="str">
        <f>IF(AND($F49="", $G49=""), "",
  _xlfn.IFNA(_xlfn.XLOOKUP($F49, database!$C:$C, database!$I:$I),
  _xlfn.IFNA(_xlfn.XLOOKUP($F49, database!$D:$D, database!$I:$I),
  _xlfn.IFNA(_xlfn.XLOOKUP($G49, database!$C:$C, database!$I:$I),
  _xlfn.IFNA(_xlfn.XLOOKUP($G49, database!$D:$D, database!$I:$I), "")))) &amp; ""
)</f>
        <v>陈济（投资总监）
Ray Li（机械分析师）
远景动力：
陈济（投资总监）
李睿（权益研究总监）
田晓萱（新股投资经理）</v>
      </c>
      <c r="I49" s="87" t="str">
        <f>IF(AND($F49="", $G49=""), "",
  _xlfn.IFNA(_xlfn.XLOOKUP($F49, database!$C:$C, database!$J:$J),
  _xlfn.IFNA(_xlfn.XLOOKUP($F49, database!$D:$D, database!$J:$J),
  _xlfn.IFNA(_xlfn.XLOOKUP($G49, database!$C:$C, database!$J:$J),
  _xlfn.IFNA(_xlfn.XLOOKUP($G49, database!$D:$D, database!$J:$J), "")))) &amp; ""
)</f>
        <v/>
      </c>
      <c r="J49" s="87" t="str">
        <f>IF($G49="","",
   _xlfn.IFNA(
      _xlfn.XLOOKUP($G49, database!$C:$C, database!$E:$E) &amp; "",
      _xlfn.XLOOKUP($G49, database!$D:$D, database!$E:$E, "") &amp; ""
   )
)</f>
        <v>险资长线</v>
      </c>
      <c r="K49" s="87" t="str">
        <f>IF(AND($F49="", $G49=""), "",
  _xlfn.IFNA(_xlfn.XLOOKUP($F49, database!$C:$C, database!$K:$K),
  _xlfn.IFNA(_xlfn.XLOOKUP($F49, database!$D:$D, database!$K:$K),
  _xlfn.IFNA(_xlfn.XLOOKUP($G49, database!$C:$C, database!$K:$K),
  _xlfn.IFNA(_xlfn.XLOOKUP($G49, database!$D:$D, database!$K:$K), "")))) &amp; ""
)</f>
        <v>4.5万亿人民币</v>
      </c>
      <c r="L49" s="165" t="str">
        <f>IF(AND($F49="", $G49=""), "",
  _xlfn.IFNA(_xlfn.XLOOKUP($F49, database!$C:$C, database!$F:$F),
  _xlfn.IFNA(_xlfn.XLOOKUP($F49, database!$D:$D, database!$F:$F),
  _xlfn.IFNA(_xlfn.XLOOKUP($G49, database!$C:$C, database!$F:$F),
  _xlfn.IFNA(_xlfn.XLOOKUP($G49, database!$D:$D, database!$F:$F), "")))) &amp; ""
)</f>
        <v>泰康资产管理(Taikang AM)作为中国领先的保险系资产管理平台，依托泰康保险集团生态构建"长期资金管理+多元化资产创设"双引擎驱动模式。截至2025年6月，管理总规模突破4.5万亿元，其中养老金管理规模1.1万亿元、绿色投资组合超2500亿元，形成覆盖固收、权益、另类及跨境投资的完整能力链。通过香港子公司、公募基金平台、私募基地及产业直投团队的协同运作，深度主导京沪高铁、西气东输等国家级基建项目，并持续加码新能源、大健康、智慧物流等战略赛道直投，持续锚定"长期资本赋能实体经济低碳转型与民生基建升级"的核心使命。</v>
      </c>
      <c r="M49" s="105" t="str">
        <f>IF(AND($F49="", $G49=""), "",
  _xlfn.IFNA(_xlfn.XLOOKUP($F49, database!$C:$C, database!$G:$G),
  _xlfn.IFNA(_xlfn.XLOOKUP($F49, database!$D:$D, database!$G:$G),
  _xlfn.IFNA(_xlfn.XLOOKUP($G49, database!$C:$C, database!$G:$G),
  _xlfn.IFNA(_xlfn.XLOOKUP($G49, database!$D:$D, database!$G:$G), "")))) &amp; ""
)</f>
        <v>华勤技术、群核科技、澜起科技、东鹏饮料、鸣鸣很忙、兆易创新、Minimax-WP等</v>
      </c>
      <c r="N49" t="str">
        <f>IF(AND($F49="", $G49=""), "",
   IF(OR(
        IF($F49&lt;&gt;"", COUNTIF(ringfence!A$2:A$10000, "*"&amp;$F49&amp;"*"), 0)&gt;0,
        IF($G49&lt;&gt;"", COUNTIF(ringfence!A$2:A$10000, "*"&amp;$G49&amp;"*"), 0)&gt;0
   ),
   "Yes", "No")
)</f>
        <v>No</v>
      </c>
      <c r="O49" t="str">
        <f>IF(AND($F49="", $G49=""), "",
   IF(OR(
        IF($F49&lt;&gt;"", COUNTIF(ringfence!B$2:B$10000, "*"&amp;$F49&amp;"*"), 0)&gt;0,
        IF($G49&lt;&gt;"", COUNTIF(ringfence!B$2:B$10000, "*"&amp;$G49&amp;"*"), 0)&gt;0
   ),
   "Yes", "No")
)</f>
        <v>No</v>
      </c>
      <c r="P49" t="str">
        <f>IF(AND($F49="", $G49=""), "",
   IF(OR(
        IF($F49&lt;&gt;"", COUNTIF(ringfence!C$2:C$10000, "*"&amp;$F49&amp;"*"), 0)&gt;0,
        IF($G49&lt;&gt;"", COUNTIF(ringfence!C$2:C$10000, "*"&amp;$G49&amp;"*"), 0)&gt;0
   ),
   "Yes", "No")
)</f>
        <v>No</v>
      </c>
      <c r="Q49" t="str">
        <f>IF(AND($F49="", $G49=""), "",
   IF(OR(
        IF($F49&lt;&gt;"", COUNTIF(ringfence!D$2:D$10000, "*"&amp;$F49&amp;"*"), 0)&gt;0,
        IF($G49&lt;&gt;"", COUNTIF(ringfence!D$2:D$10000, "*"&amp;$G49&amp;"*"), 0)&gt;0
   ),
   "Yes", "No")
)</f>
        <v>No</v>
      </c>
      <c r="R49" t="str">
        <f>IF(AND($F49="", $G49=""), "",
   IF(OR(
        IF($F49&lt;&gt;"", COUNTIF(ringfence!E$2:E$10000, "*"&amp;$F49&amp;"*"), 0)&gt;0,
        IF($G49&lt;&gt;"", COUNTIF(ringfence!E$2:E$10000, "*"&amp;$G49&amp;"*"), 0)&gt;0
   ),
   "Yes", "No")
)</f>
        <v>No</v>
      </c>
      <c r="S49" s="87" t="str" cm="1">
        <f t="array" ref="S49">_xlfn.IFS(
    B49="1对1", "1x1",
    B49="1对2", "1x2",
    B49="小组会议", "小组会议",
    TRUE, B49
)</f>
        <v>1x1</v>
      </c>
      <c r="T49" s="32" t="str">
        <f t="shared" si="3"/>
        <v>Taikang AM
泰康资管</v>
      </c>
    </row>
    <row r="50" spans="1:20" ht="102">
      <c r="A50" s="87" t="s">
        <v>246</v>
      </c>
      <c r="B50" s="88" t="s">
        <v>239</v>
      </c>
      <c r="C50" s="89" t="s">
        <v>240</v>
      </c>
      <c r="D50" s="89" t="s">
        <v>241</v>
      </c>
      <c r="E50" s="97" t="s">
        <v>2095</v>
      </c>
      <c r="F50" s="87" t="str" cm="1">
        <f t="array" ref="F50:G50">IF(E50="","",
_xlfn._xlws.FILTER(
    IF(CompanyName1[]="","",CompanyName1[]),
    (ISNUMBER(SEARCH(E50,CompanyName1[机构名称（英文）]&amp;"")) +
     ISNUMBER(SEARCH(E50,CompanyName1[机构名称（中文）]&amp;"")))&gt;0
))</f>
        <v>兰馨亚洲</v>
      </c>
      <c r="G50" s="87" t="str">
        <v>Orchid Asia</v>
      </c>
      <c r="H50" s="90" t="str">
        <f>IF(AND($F50="", $G50=""), "",
  _xlfn.IFNA(_xlfn.XLOOKUP($F50, database!$C:$C, database!$I:$I),
  _xlfn.IFNA(_xlfn.XLOOKUP($F50, database!$D:$D, database!$I:$I),
  _xlfn.IFNA(_xlfn.XLOOKUP($G50, database!$C:$C, database!$I:$I),
  _xlfn.IFNA(_xlfn.XLOOKUP($G50, database!$D:$D, database!$I:$I), "")))) &amp; ""
)</f>
        <v>Gilbert Lee（创始人）
Kevin Huang（董事总经理）
Luis Lui（分析师）</v>
      </c>
      <c r="I50" s="87" t="str">
        <f>IF(AND($F50="", $G50=""), "",
  _xlfn.IFNA(_xlfn.XLOOKUP($F50, database!$C:$C, database!$J:$J),
  _xlfn.IFNA(_xlfn.XLOOKUP($F50, database!$D:$D, database!$J:$J),
  _xlfn.IFNA(_xlfn.XLOOKUP($G50, database!$C:$C, database!$J:$J),
  _xlfn.IFNA(_xlfn.XLOOKUP($G50, database!$D:$D, database!$J:$J), "")))) &amp; ""
)</f>
        <v>深圳市福田区福田街道福华一路111号招商证券大厦22楼</v>
      </c>
      <c r="J50" s="87" t="str">
        <f>IF($G50="","",
   _xlfn.IFNA(
      _xlfn.XLOOKUP($G50, database!$C:$C, database!$E:$E) &amp; "",
      _xlfn.XLOOKUP($G50, database!$D:$D, database!$E:$E, "") &amp; ""
   )
)</f>
        <v>私募股权</v>
      </c>
      <c r="K50" s="87" t="str">
        <f>IF(AND($F50="", $G50=""), "",
  _xlfn.IFNA(_xlfn.XLOOKUP($F50, database!$C:$C, database!$K:$K),
  _xlfn.IFNA(_xlfn.XLOOKUP($F50, database!$D:$D, database!$K:$K),
  _xlfn.IFNA(_xlfn.XLOOKUP($G50, database!$C:$C, database!$K:$K),
  _xlfn.IFNA(_xlfn.XLOOKUP($G50, database!$D:$D, database!$K:$K), "")))) &amp; ""
)</f>
        <v>约60亿美元</v>
      </c>
      <c r="L50" s="165" t="str">
        <f>IF(AND($F50="", $G50=""), "",
  _xlfn.IFNA(_xlfn.XLOOKUP($F50, database!$C:$C, database!$F:$F),
  _xlfn.IFNA(_xlfn.XLOOKUP($F50, database!$D:$D, database!$F:$F),
  _xlfn.IFNA(_xlfn.XLOOKUP($G50, database!$C:$C, database!$F:$F),
  _xlfn.IFNA(_xlfn.XLOOKUP($G50, database!$D:$D, database!$F:$F), "")))) &amp; ""
)</f>
        <v>兰馨亚洲（Orchid Asia）成立于1993年，是首批投资中国的国际私募股权机构之一，公司在香港、上海、北京和广州等地均设有办公室。兰馨亚洲投资集团帮助拥有丰富管理经验的人才在亚洲地区，特别是中国，建立成功的商业模式。兰馨亚洲投资集团主要投资于具有持续增长潜力、高进入壁垒并处于扩张期的消费产品及服务行业、高新科技、医疗和外包制造服务业。目前，其资产管理规模为60多亿美元。</v>
      </c>
      <c r="M50" s="105" t="str">
        <f>IF(AND($F50="", $G50=""), "",
  _xlfn.IFNA(_xlfn.XLOOKUP($F50, database!$C:$C, database!$G:$G),
  _xlfn.IFNA(_xlfn.XLOOKUP($F50, database!$D:$D, database!$G:$G),
  _xlfn.IFNA(_xlfn.XLOOKUP($G50, database!$C:$C, database!$G:$G),
  _xlfn.IFNA(_xlfn.XLOOKUP($G50, database!$D:$D, database!$G:$G), "")))) &amp; ""
)</f>
        <v>宁德时代、九方财富、Vesync、合景悠活、宝龙商业、九方智投控股、华夏控股、天喔国际、时计宝、唐宫中国</v>
      </c>
      <c r="N50" t="str">
        <f>IF(AND($F50="", $G50=""), "",
   IF(OR(
        IF($F50&lt;&gt;"", COUNTIF(ringfence!A$2:A$10000, "*"&amp;$F50&amp;"*"), 0)&gt;0,
        IF($G50&lt;&gt;"", COUNTIF(ringfence!A$2:A$10000, "*"&amp;$G50&amp;"*"), 0)&gt;0
   ),
   "Yes", "No")
)</f>
        <v>No</v>
      </c>
      <c r="O50" t="str">
        <f>IF(AND($F50="", $G50=""), "",
   IF(OR(
        IF($F50&lt;&gt;"", COUNTIF(ringfence!B$2:B$10000, "*"&amp;$F50&amp;"*"), 0)&gt;0,
        IF($G50&lt;&gt;"", COUNTIF(ringfence!B$2:B$10000, "*"&amp;$G50&amp;"*"), 0)&gt;0
   ),
   "Yes", "No")
)</f>
        <v>No</v>
      </c>
      <c r="P50" t="str">
        <f>IF(AND($F50="", $G50=""), "",
   IF(OR(
        IF($F50&lt;&gt;"", COUNTIF(ringfence!C$2:C$10000, "*"&amp;$F50&amp;"*"), 0)&gt;0,
        IF($G50&lt;&gt;"", COUNTIF(ringfence!C$2:C$10000, "*"&amp;$G50&amp;"*"), 0)&gt;0
   ),
   "Yes", "No")
)</f>
        <v>No</v>
      </c>
      <c r="Q50" t="str">
        <f>IF(AND($F50="", $G50=""), "",
   IF(OR(
        IF($F50&lt;&gt;"", COUNTIF(ringfence!D$2:D$10000, "*"&amp;$F50&amp;"*"), 0)&gt;0,
        IF($G50&lt;&gt;"", COUNTIF(ringfence!D$2:D$10000, "*"&amp;$G50&amp;"*"), 0)&gt;0
   ),
   "Yes", "No")
)</f>
        <v>No</v>
      </c>
      <c r="R50" t="str">
        <f>IF(AND($F50="", $G50=""), "",
   IF(OR(
        IF($F50&lt;&gt;"", COUNTIF(ringfence!E$2:E$10000, "*"&amp;$F50&amp;"*"), 0)&gt;0,
        IF($G50&lt;&gt;"", COUNTIF(ringfence!E$2:E$10000, "*"&amp;$G50&amp;"*"), 0)&gt;0
   ),
   "Yes", "No")
)</f>
        <v>No</v>
      </c>
      <c r="S50" s="87" t="str" cm="1">
        <f t="array" ref="S50">_xlfn.IFS(
    B50="1对1", "1x1",
    B50="1对2", "1x2",
    B50="小组会议", "小组会议",
    TRUE, B50
)</f>
        <v>1x1</v>
      </c>
      <c r="T50" s="32" t="str">
        <f t="shared" si="3"/>
        <v>Orchid Asia
兰馨亚洲</v>
      </c>
    </row>
    <row r="51" spans="1:20" ht="68">
      <c r="A51" s="87" t="s">
        <v>248</v>
      </c>
      <c r="B51" s="88" t="s">
        <v>239</v>
      </c>
      <c r="C51" s="89" t="s">
        <v>240</v>
      </c>
      <c r="D51" s="89" t="s">
        <v>241</v>
      </c>
      <c r="E51" s="97" t="s">
        <v>2093</v>
      </c>
      <c r="F51" s="87" t="str" cm="1">
        <f t="array" ref="F51:G51">IF(E51="","",
_xlfn._xlws.FILTER(
    IF(CompanyName1[]="","",CompanyName1[]),
    (ISNUMBER(SEARCH(E51,CompanyName1[机构名称（英文）]&amp;"")) +
     ISNUMBER(SEARCH(E51,CompanyName1[机构名称（中文）]&amp;"")))&gt;0
))</f>
        <v>盘京投资</v>
      </c>
      <c r="G51" s="87" t="str">
        <v/>
      </c>
      <c r="H51" s="90" t="str">
        <f>IF(AND($F51="", $G51=""), "",
  _xlfn.IFNA(_xlfn.XLOOKUP($F51, database!$C:$C, database!$I:$I),
  _xlfn.IFNA(_xlfn.XLOOKUP($F51, database!$D:$D, database!$I:$I),
  _xlfn.IFNA(_xlfn.XLOOKUP($G51, database!$C:$C, database!$I:$I),
  _xlfn.IFNA(_xlfn.XLOOKUP($G51, database!$D:$D, database!$I:$I), "")))) &amp; ""
)</f>
        <v>庄涛（创始人）</v>
      </c>
      <c r="I51" s="87" t="str">
        <f>IF(AND($F51="", $G51=""), "",
  _xlfn.IFNA(_xlfn.XLOOKUP($F51, database!$C:$C, database!$J:$J),
  _xlfn.IFNA(_xlfn.XLOOKUP($F51, database!$D:$D, database!$J:$J),
  _xlfn.IFNA(_xlfn.XLOOKUP($G51, database!$C:$C, database!$J:$J),
  _xlfn.IFNA(_xlfn.XLOOKUP($G51, database!$D:$D, database!$J:$J), "")))) &amp; ""
)</f>
        <v/>
      </c>
      <c r="J51" s="87" t="str">
        <f>IF($G51="","",
   _xlfn.IFNA(
      _xlfn.XLOOKUP($G51, database!$C:$C, database!$E:$E) &amp; "",
      _xlfn.XLOOKUP($G51, database!$D:$D, database!$E:$E, "") &amp; ""
   )
)</f>
        <v/>
      </c>
      <c r="K51" s="87" t="str">
        <f>IF(AND($F51="", $G51=""), "",
  _xlfn.IFNA(_xlfn.XLOOKUP($F51, database!$C:$C, database!$K:$K),
  _xlfn.IFNA(_xlfn.XLOOKUP($F51, database!$D:$D, database!$K:$K),
  _xlfn.IFNA(_xlfn.XLOOKUP($G51, database!$C:$C, database!$K:$K),
  _xlfn.IFNA(_xlfn.XLOOKUP($G51, database!$D:$D, database!$K:$K), "")))) &amp; ""
)</f>
        <v/>
      </c>
      <c r="L51" s="165" t="str">
        <f>IF(AND($F51="", $G51=""), "",
  _xlfn.IFNA(_xlfn.XLOOKUP($F51, database!$C:$C, database!$F:$F),
  _xlfn.IFNA(_xlfn.XLOOKUP($F51, database!$D:$D, database!$F:$F),
  _xlfn.IFNA(_xlfn.XLOOKUP($G51, database!$C:$C, database!$F:$F),
  _xlfn.IFNA(_xlfn.XLOOKUP($G51, database!$D:$D, database!$F:$F), "")))) &amp; ""
)</f>
        <v>上海盘京是中国资本市场的新锐投资力量，成立于2016年，目前已经成为境内知名百亿私募。投研团队由资深投资人士庄涛和陈勤领衔，公司的核心人物庄涛具有多年证券投资经验，曾担任中信产业基金董事总经理、华商基金投资总监等职务。公司投资领域覆盖TMT、金融&amp;地产、消费&amp;医药、电新&amp;制造业、能源化工&amp;周期品等。</v>
      </c>
      <c r="M51" s="105" t="str">
        <f>IF(AND($F51="", $G51=""), "",
  _xlfn.IFNA(_xlfn.XLOOKUP($F51, database!$C:$C, database!$G:$G),
  _xlfn.IFNA(_xlfn.XLOOKUP($F51, database!$D:$D, database!$G:$G),
  _xlfn.IFNA(_xlfn.XLOOKUP($G51, database!$C:$C, database!$G:$G),
  _xlfn.IFNA(_xlfn.XLOOKUP($G51, database!$D:$D, database!$G:$G), "")))) &amp; ""
)</f>
        <v/>
      </c>
      <c r="N51" t="str">
        <f>IF(AND($F51="", $G51=""), "",
   IF(OR(
        IF($F51&lt;&gt;"", COUNTIF(ringfence!A$2:A$10000, "*"&amp;$F51&amp;"*"), 0)&gt;0,
        IF($G51&lt;&gt;"", COUNTIF(ringfence!A$2:A$10000, "*"&amp;$G51&amp;"*"), 0)&gt;0
   ),
   "Yes", "No")
)</f>
        <v>No</v>
      </c>
      <c r="O51" t="str">
        <f>IF(AND($F51="", $G51=""), "",
   IF(OR(
        IF($F51&lt;&gt;"", COUNTIF(ringfence!B$2:B$10000, "*"&amp;$F51&amp;"*"), 0)&gt;0,
        IF($G51&lt;&gt;"", COUNTIF(ringfence!B$2:B$10000, "*"&amp;$G51&amp;"*"), 0)&gt;0
   ),
   "Yes", "No")
)</f>
        <v>No</v>
      </c>
      <c r="P51" t="str">
        <f>IF(AND($F51="", $G51=""), "",
   IF(OR(
        IF($F51&lt;&gt;"", COUNTIF(ringfence!C$2:C$10000, "*"&amp;$F51&amp;"*"), 0)&gt;0,
        IF($G51&lt;&gt;"", COUNTIF(ringfence!C$2:C$10000, "*"&amp;$G51&amp;"*"), 0)&gt;0
   ),
   "Yes", "No")
)</f>
        <v>No</v>
      </c>
      <c r="Q51" t="str">
        <f>IF(AND($F51="", $G51=""), "",
   IF(OR(
        IF($F51&lt;&gt;"", COUNTIF(ringfence!D$2:D$10000, "*"&amp;$F51&amp;"*"), 0)&gt;0,
        IF($G51&lt;&gt;"", COUNTIF(ringfence!D$2:D$10000, "*"&amp;$G51&amp;"*"), 0)&gt;0
   ),
   "Yes", "No")
)</f>
        <v>No</v>
      </c>
      <c r="R51" t="str">
        <f>IF(AND($F51="", $G51=""), "",
   IF(OR(
        IF($F51&lt;&gt;"", COUNTIF(ringfence!E$2:E$10000, "*"&amp;$F51&amp;"*"), 0)&gt;0,
        IF($G51&lt;&gt;"", COUNTIF(ringfence!E$2:E$10000, "*"&amp;$G51&amp;"*"), 0)&gt;0
   ),
   "Yes", "No")
)</f>
        <v>No</v>
      </c>
      <c r="S51" s="87" t="str" cm="1">
        <f t="array" ref="S51">_xlfn.IFS(
    B51="1对1", "1x1",
    B51="1对2", "1x2",
    B51="小组会议", "小组会议",
    TRUE, B51
)</f>
        <v>1x1</v>
      </c>
      <c r="T51" s="32" t="str">
        <f t="shared" si="3"/>
        <v xml:space="preserve">
盘京投资</v>
      </c>
    </row>
    <row r="52" spans="1:20" ht="102">
      <c r="A52" s="87"/>
      <c r="B52" s="88"/>
      <c r="C52" s="89"/>
      <c r="D52" s="89"/>
      <c r="E52" s="97" t="s">
        <v>860</v>
      </c>
      <c r="F52" s="87" t="str" cm="1">
        <f t="array" ref="F52:G52">IF(E52="","",
_xlfn._xlws.FILTER(
    IF(CompanyName1[]="","",CompanyName1[]),
    (ISNUMBER(SEARCH(E52,CompanyName1[机构名称（英文）]&amp;"")) +
     ISNUMBER(SEARCH(E52,CompanyName1[机构名称（中文）]&amp;"")))&gt;0
))</f>
        <v>正心谷</v>
      </c>
      <c r="G52" s="87" t="str">
        <v>Loyal Valley Capital</v>
      </c>
      <c r="H52" s="90" t="str">
        <f>IF(AND($F52="", $G52=""), "",
  _xlfn.IFNA(_xlfn.XLOOKUP($F52, database!$C:$C, database!$I:$I),
  _xlfn.IFNA(_xlfn.XLOOKUP($F52, database!$D:$D, database!$I:$I),
  _xlfn.IFNA(_xlfn.XLOOKUP($G52, database!$C:$C, database!$I:$I),
  _xlfn.IFNA(_xlfn.XLOOKUP($G52, database!$D:$D, database!$I:$I), "")))) &amp; ""
)</f>
        <v>陈晓宇（董事总经理）</v>
      </c>
      <c r="I52" s="87" t="str">
        <f>IF(AND($F52="", $G52=""), "",
  _xlfn.IFNA(_xlfn.XLOOKUP($F52, database!$C:$C, database!$J:$J),
  _xlfn.IFNA(_xlfn.XLOOKUP($F52, database!$D:$D, database!$J:$J),
  _xlfn.IFNA(_xlfn.XLOOKUP($G52, database!$C:$C, database!$J:$J),
  _xlfn.IFNA(_xlfn.XLOOKUP($G52, database!$D:$D, database!$J:$J), "")))) &amp; ""
)</f>
        <v/>
      </c>
      <c r="J52" s="87" t="str">
        <f>IF($G52="","",
   _xlfn.IFNA(
      _xlfn.XLOOKUP($G52, database!$C:$C, database!$E:$E) &amp; "",
      _xlfn.XLOOKUP($G52, database!$D:$D, database!$E:$E, "") &amp; ""
   )
)</f>
        <v>中资长线</v>
      </c>
      <c r="K52" s="87" t="str">
        <f>IF(AND($F52="", $G52=""), "",
  _xlfn.IFNA(_xlfn.XLOOKUP($F52, database!$C:$C, database!$K:$K),
  _xlfn.IFNA(_xlfn.XLOOKUP($F52, database!$D:$D, database!$K:$K),
  _xlfn.IFNA(_xlfn.XLOOKUP($G52, database!$C:$C, database!$K:$K),
  _xlfn.IFNA(_xlfn.XLOOKUP($G52, database!$D:$D, database!$K:$K), "")))) &amp; ""
)</f>
        <v/>
      </c>
      <c r="L52" s="165" t="str">
        <f>IF(AND($F52="", $G52=""), "",
  _xlfn.IFNA(_xlfn.XLOOKUP($F52, database!$C:$C, database!$F:$F),
  _xlfn.IFNA(_xlfn.XLOOKUP($F52, database!$D:$D, database!$F:$F),
  _xlfn.IFNA(_xlfn.XLOOKUP($G52, database!$C:$C, database!$F:$F),
  _xlfn.IFNA(_xlfn.XLOOKUP($G52, database!$D:$D, database!$F:$F), "")))) &amp; ""
)</f>
        <v>正心谷资本于2015年成立，名字源于 “Loyal to our heart”，寓意 “正心诚意，虚怀若谷” 。秉持 “长期、专注、利他” 投资价值观，致力于打造优秀投资研究与投后管理团队 。其投资覆盖新消费、医疗健康、现代金融、科技制造等领域，涉及早期、风险、私募股权、上市公司及并购投资各阶段 。管理规模超500亿人民币，投资超110个股权项目，投资案例包括字节跳动、哔哩哔哩、泡泡玛特、君实生物、中控技术等知名企业。</v>
      </c>
      <c r="M52" s="105" t="str">
        <f>IF(AND($F52="", $G52=""), "",
  _xlfn.IFNA(_xlfn.XLOOKUP($F52, database!$C:$C, database!$G:$G),
  _xlfn.IFNA(_xlfn.XLOOKUP($F52, database!$D:$D, database!$G:$G),
  _xlfn.IFNA(_xlfn.XLOOKUP($G52, database!$C:$C, database!$G:$G),
  _xlfn.IFNA(_xlfn.XLOOKUP($G52, database!$D:$D, database!$G:$G), "")))) &amp; ""
)</f>
        <v>维立志博-B</v>
      </c>
      <c r="N52" t="str">
        <f>IF(AND($F52="", $G52=""), "",
   IF(OR(
        IF($F52&lt;&gt;"", COUNTIF(ringfence!A$2:A$10000, "*"&amp;$F52&amp;"*"), 0)&gt;0,
        IF($G52&lt;&gt;"", COUNTIF(ringfence!A$2:A$10000, "*"&amp;$G52&amp;"*"), 0)&gt;0
   ),
   "Yes", "No")
)</f>
        <v>No</v>
      </c>
      <c r="O52" t="str">
        <f>IF(AND($F52="", $G52=""), "",
   IF(OR(
        IF($F52&lt;&gt;"", COUNTIF(ringfence!B$2:B$10000, "*"&amp;$F52&amp;"*"), 0)&gt;0,
        IF($G52&lt;&gt;"", COUNTIF(ringfence!B$2:B$10000, "*"&amp;$G52&amp;"*"), 0)&gt;0
   ),
   "Yes", "No")
)</f>
        <v>No</v>
      </c>
      <c r="P52" t="str">
        <f>IF(AND($F52="", $G52=""), "",
   IF(OR(
        IF($F52&lt;&gt;"", COUNTIF(ringfence!C$2:C$10000, "*"&amp;$F52&amp;"*"), 0)&gt;0,
        IF($G52&lt;&gt;"", COUNTIF(ringfence!C$2:C$10000, "*"&amp;$G52&amp;"*"), 0)&gt;0
   ),
   "Yes", "No")
)</f>
        <v>No</v>
      </c>
      <c r="Q52" t="str">
        <f>IF(AND($F52="", $G52=""), "",
   IF(OR(
        IF($F52&lt;&gt;"", COUNTIF(ringfence!D$2:D$10000, "*"&amp;$F52&amp;"*"), 0)&gt;0,
        IF($G52&lt;&gt;"", COUNTIF(ringfence!D$2:D$10000, "*"&amp;$G52&amp;"*"), 0)&gt;0
   ),
   "Yes", "No")
)</f>
        <v>No</v>
      </c>
      <c r="R52" t="str">
        <f>IF(AND($F52="", $G52=""), "",
   IF(OR(
        IF($F52&lt;&gt;"", COUNTIF(ringfence!E$2:E$10000, "*"&amp;$F52&amp;"*"), 0)&gt;0,
        IF($G52&lt;&gt;"", COUNTIF(ringfence!E$2:E$10000, "*"&amp;$G52&amp;"*"), 0)&gt;0
   ),
   "Yes", "No")
)</f>
        <v>No</v>
      </c>
      <c r="S52" s="87" cm="1">
        <f t="array" ref="S52">_xlfn.IFS(
    B52="1对1", "1x1",
    B52="1对2", "1x2",
    B52="小组会议", "小组会议",
    TRUE, B52
)</f>
        <v>0</v>
      </c>
      <c r="T52" s="32" t="str">
        <f t="shared" si="3"/>
        <v>Loyal Valley Capital
正心谷</v>
      </c>
    </row>
    <row r="53" spans="1:20" ht="45" customHeight="1">
      <c r="A53" s="87"/>
      <c r="B53" s="88"/>
      <c r="C53" s="89"/>
      <c r="D53" s="89"/>
      <c r="E53" s="97" t="s">
        <v>606</v>
      </c>
      <c r="F53" s="87" t="str" cm="1">
        <f t="array" ref="F53:G54">IF(E53="","",
_xlfn._xlws.FILTER(
    IF(CompanyName1[]="","",CompanyName1[]),
    (ISNUMBER(SEARCH(E53,CompanyName1[机构名称（英文）]&amp;"")) +
     ISNUMBER(SEARCH(E53,CompanyName1[机构名称（中文）]&amp;"")))&gt;0
))</f>
        <v>淡水泉</v>
      </c>
      <c r="G53" s="87" t="str">
        <v>Spring Capital</v>
      </c>
      <c r="H53" s="90" t="str">
        <f>IF(AND($F53="", $G53=""), "",
  _xlfn.IFNA(_xlfn.XLOOKUP($F53, database!$C:$C, database!$I:$I),
  _xlfn.IFNA(_xlfn.XLOOKUP($F53, database!$D:$D, database!$I:$I),
  _xlfn.IFNA(_xlfn.XLOOKUP($G53, database!$C:$C, database!$I:$I),
  _xlfn.IFNA(_xlfn.XLOOKUP($G53, database!$D:$D, database!$I:$I), "")))) &amp; ""
)</f>
        <v>赵军（创始人）</v>
      </c>
      <c r="I53" s="87" t="str">
        <f>IF(AND($F53="", $G53=""), "",
  _xlfn.IFNA(_xlfn.XLOOKUP($F53, database!$C:$C, database!$J:$J),
  _xlfn.IFNA(_xlfn.XLOOKUP($F53, database!$D:$D, database!$J:$J),
  _xlfn.IFNA(_xlfn.XLOOKUP($G53, database!$C:$C, database!$J:$J),
  _xlfn.IFNA(_xlfn.XLOOKUP($G53, database!$D:$D, database!$J:$J), "")))) &amp; ""
)</f>
        <v/>
      </c>
      <c r="J53" s="87" t="str">
        <f>IF($G53="","",
   _xlfn.IFNA(
      _xlfn.XLOOKUP($G53, database!$C:$C, database!$E:$E) &amp; "",
      _xlfn.XLOOKUP($G53, database!$D:$D, database!$E:$E, "") &amp; ""
   )
)</f>
        <v>私募股权</v>
      </c>
      <c r="K53" s="87" t="str">
        <f>IF(AND($F53="", $G53=""), "",
  _xlfn.IFNA(_xlfn.XLOOKUP($F53, database!$C:$C, database!$K:$K),
  _xlfn.IFNA(_xlfn.XLOOKUP($F53, database!$D:$D, database!$K:$K),
  _xlfn.IFNA(_xlfn.XLOOKUP($G53, database!$C:$C, database!$K:$K),
  _xlfn.IFNA(_xlfn.XLOOKUP($G53, database!$D:$D, database!$K:$K), "")))) &amp; ""
)</f>
        <v/>
      </c>
      <c r="L53" s="165" t="str">
        <f>IF(AND($F53="", $G53=""), "",
  _xlfn.IFNA(_xlfn.XLOOKUP($F53, database!$C:$C, database!$F:$F),
  _xlfn.IFNA(_xlfn.XLOOKUP($F53, database!$D:$D, database!$F:$F),
  _xlfn.IFNA(_xlfn.XLOOKUP($G53, database!$C:$C, database!$F:$F),
  _xlfn.IFNA(_xlfn.XLOOKUP($G53, database!$D:$D, database!$F:$F), "")))) &amp; ""
)</f>
        <v>淡水泉（Spring Capital）成立于 2007 年，是中国领先的私募证券基金管理人之一。公司聚焦中国相关的投资机会，同时开展国内私募证券投资、海外对冲基金和机构专户业务，致力于以不断进化的组织能力，为客户实现长期可持续的价值。淡水泉的投资哲学是挖掘长期价值，坚持基本面为导向的投资，偏好那些具有优秀公司治理、可被证明的过往经营管理能力的公司，寻找与市场对企业基本面的预期差异。资产管理规模约为66亿美元</v>
      </c>
      <c r="M53" s="105" t="str">
        <f>IF(AND($F53="", $G53=""), "",
  _xlfn.IFNA(_xlfn.XLOOKUP($F53, database!$C:$C, database!$G:$G),
  _xlfn.IFNA(_xlfn.XLOOKUP($F53, database!$D:$D, database!$G:$G),
  _xlfn.IFNA(_xlfn.XLOOKUP($G53, database!$C:$C, database!$G:$G),
  _xlfn.IFNA(_xlfn.XLOOKUP($G53, database!$D:$D, database!$G:$G), "")))) &amp; ""
)</f>
        <v>远洋服务</v>
      </c>
      <c r="N53" t="str">
        <f>IF(AND($F53="", $G53=""), "",
   IF(OR(
        IF($F53&lt;&gt;"", COUNTIF(ringfence!A$2:A$10000, "*"&amp;$F53&amp;"*"), 0)&gt;0,
        IF($G53&lt;&gt;"", COUNTIF(ringfence!A$2:A$10000, "*"&amp;$G53&amp;"*"), 0)&gt;0
   ),
   "Yes", "No")
)</f>
        <v>No</v>
      </c>
      <c r="O53" t="str">
        <f>IF(AND($F53="", $G53=""), "",
   IF(OR(
        IF($F53&lt;&gt;"", COUNTIF(ringfence!B$2:B$10000, "*"&amp;$F53&amp;"*"), 0)&gt;0,
        IF($G53&lt;&gt;"", COUNTIF(ringfence!B$2:B$10000, "*"&amp;$G53&amp;"*"), 0)&gt;0
   ),
   "Yes", "No")
)</f>
        <v>No</v>
      </c>
      <c r="P53" t="str">
        <f>IF(AND($F53="", $G53=""), "",
   IF(OR(
        IF($F53&lt;&gt;"", COUNTIF(ringfence!C$2:C$10000, "*"&amp;$F53&amp;"*"), 0)&gt;0,
        IF($G53&lt;&gt;"", COUNTIF(ringfence!C$2:C$10000, "*"&amp;$G53&amp;"*"), 0)&gt;0
   ),
   "Yes", "No")
)</f>
        <v>No</v>
      </c>
      <c r="Q53" t="str">
        <f>IF(AND($F53="", $G53=""), "",
   IF(OR(
        IF($F53&lt;&gt;"", COUNTIF(ringfence!D$2:D$10000, "*"&amp;$F53&amp;"*"), 0)&gt;0,
        IF($G53&lt;&gt;"", COUNTIF(ringfence!D$2:D$10000, "*"&amp;$G53&amp;"*"), 0)&gt;0
   ),
   "Yes", "No")
)</f>
        <v>No</v>
      </c>
      <c r="R53" t="str">
        <f>IF(AND($F53="", $G53=""), "",
   IF(OR(
        IF($F53&lt;&gt;"", COUNTIF(ringfence!E$2:E$10000, "*"&amp;$F53&amp;"*"), 0)&gt;0,
        IF($G53&lt;&gt;"", COUNTIF(ringfence!E$2:E$10000, "*"&amp;$G53&amp;"*"), 0)&gt;0
   ),
   "Yes", "No")
)</f>
        <v>No</v>
      </c>
      <c r="S53" s="87" cm="1">
        <f t="array" ref="S53">_xlfn.IFS(
    B53="1对1", "1x1",
    B53="1对2", "1x2",
    B53="小组会议", "小组会议",
    TRUE, B53
)</f>
        <v>0</v>
      </c>
      <c r="T53" s="32" t="str">
        <f t="shared" si="3"/>
        <v>Spring Capital
淡水泉</v>
      </c>
    </row>
    <row r="54" spans="1:20" ht="19" customHeight="1">
      <c r="F54" t="str">
        <v>淡水泉</v>
      </c>
      <c r="G54" t="str">
        <v>Springs Capital</v>
      </c>
    </row>
    <row r="55" spans="1:20" ht="30.25" customHeight="1"/>
    <row r="56" spans="1:20" ht="30.25" customHeight="1"/>
    <row r="57" spans="1:20" ht="30.25" customHeight="1"/>
    <row r="58" spans="1:20" ht="30.25" customHeight="1"/>
    <row r="64" spans="1:20" ht="30.25" customHeight="1"/>
    <row r="65" ht="30.25" customHeight="1"/>
    <row r="66" ht="30.25" customHeight="1"/>
    <row r="67" ht="30.25" customHeight="1"/>
    <row r="68" ht="30.25" customHeight="1"/>
    <row r="69" ht="30.25" customHeight="1"/>
  </sheetData>
  <phoneticPr fontId="20" type="noConversion"/>
  <conditionalFormatting sqref="N15:R20">
    <cfRule type="containsText" dxfId="5" priority="4" operator="containsText" text="Yes">
      <formula>NOT(ISERROR(SEARCH("Yes",N15)))</formula>
    </cfRule>
    <cfRule type="containsText" dxfId="4" priority="5" operator="containsText" text="Yes">
      <formula>NOT(ISERROR(SEARCH("Yes",N15)))</formula>
    </cfRule>
  </conditionalFormatting>
  <conditionalFormatting sqref="N26:R31">
    <cfRule type="containsText" dxfId="3" priority="3" operator="containsText" text="Yes">
      <formula>NOT(ISERROR(SEARCH("Yes",N26)))</formula>
    </cfRule>
  </conditionalFormatting>
  <conditionalFormatting sqref="N37:R42">
    <cfRule type="containsText" dxfId="2" priority="2" operator="containsText" text="Yes">
      <formula>NOT(ISERROR(SEARCH("Yes",N37)))</formula>
    </cfRule>
  </conditionalFormatting>
  <conditionalFormatting sqref="N48:R53">
    <cfRule type="containsText" dxfId="1" priority="1" operator="containsText" text="Yes">
      <formula>NOT(ISERROR(SEARCH("Yes",N48)))</formula>
    </cfRule>
  </conditionalFormatting>
  <dataValidations count="3">
    <dataValidation type="list" allowBlank="1" showInputMessage="1" showErrorMessage="1" sqref="B48:B53 B15:B20 B37:B42 B26:B31" xr:uid="{00000000-0002-0000-0100-000000000000}">
      <formula1>"1对1,1对2,小组会"</formula1>
    </dataValidation>
    <dataValidation type="list" allowBlank="1" showInputMessage="1" showErrorMessage="1" sqref="D48:D53 D15:D20 D37:D42 D26:D31" xr:uid="{00000000-0002-0000-0100-000001000000}">
      <formula1>"中文,英文"</formula1>
      <formula2>0</formula2>
    </dataValidation>
    <dataValidation type="list" allowBlank="1" showInputMessage="1" showErrorMessage="1" sqref="C48:C53 C15:C20 C37:C42 C26:C31" xr:uid="{DC07CB93-A1DE-A541-8621-AD9EDCD3EA9B}">
      <formula1>"线下会议,线上会议,线下/线上会议, 午餐会, 反向路演"</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InsertAboveEmptyBC_WithSequence_Colors_AndI">
                <anchor moveWithCells="1" sizeWithCells="1">
                  <from>
                    <xdr:col>7</xdr:col>
                    <xdr:colOff>127000</xdr:colOff>
                    <xdr:row>7</xdr:row>
                    <xdr:rowOff>50800</xdr:rowOff>
                  </from>
                  <to>
                    <xdr:col>9</xdr:col>
                    <xdr:colOff>304800</xdr:colOff>
                    <xdr:row>10</xdr:row>
                    <xdr:rowOff>127000</xdr:rowOff>
                  </to>
                </anchor>
              </controlPr>
            </control>
          </mc:Choice>
        </mc:AlternateContent>
        <mc:AlternateContent xmlns:mc="http://schemas.openxmlformats.org/markup-compatibility/2006">
          <mc:Choice Requires="x14">
            <control shapeId="2050" r:id="rId4" name="Button 2">
              <controlPr defaultSize="0" print="0" autoFill="0" autoPict="0" macro="[0]!CopyFirstTwoRowsAndSave" altText="Paste Value and Save">
                <anchor moveWithCells="1" sizeWithCells="1">
                  <from>
                    <xdr:col>5</xdr:col>
                    <xdr:colOff>381000</xdr:colOff>
                    <xdr:row>7</xdr:row>
                    <xdr:rowOff>63500</xdr:rowOff>
                  </from>
                  <to>
                    <xdr:col>6</xdr:col>
                    <xdr:colOff>1206500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38F73-CEA3-4641-AB0E-848EB909AED7}">
  <dimension ref="C2:M69"/>
  <sheetViews>
    <sheetView topLeftCell="B52" zoomScale="150" workbookViewId="0">
      <selection activeCell="I51" sqref="I51"/>
    </sheetView>
  </sheetViews>
  <sheetFormatPr baseColWidth="10" defaultRowHeight="16"/>
  <cols>
    <col min="4" max="4" width="17.33203125" customWidth="1"/>
    <col min="5" max="5" width="26" customWidth="1"/>
    <col min="6" max="6" width="15.1640625" customWidth="1"/>
    <col min="7" max="7" width="12.33203125" customWidth="1"/>
    <col min="8" max="8" width="17.83203125" customWidth="1"/>
  </cols>
  <sheetData>
    <row r="2" spans="3:11">
      <c r="C2" t="s">
        <v>1983</v>
      </c>
      <c r="D2" t="s">
        <v>1099</v>
      </c>
      <c r="E2" t="s">
        <v>1197</v>
      </c>
      <c r="F2" t="s">
        <v>471</v>
      </c>
      <c r="G2" t="s">
        <v>1099</v>
      </c>
      <c r="H2" t="s">
        <v>265</v>
      </c>
      <c r="I2" t="s">
        <v>472</v>
      </c>
      <c r="J2" t="s">
        <v>1426</v>
      </c>
      <c r="K2" t="s">
        <v>1099</v>
      </c>
    </row>
    <row r="3" spans="3:11">
      <c r="C3" t="s">
        <v>1984</v>
      </c>
      <c r="D3" t="s">
        <v>1099</v>
      </c>
      <c r="E3" t="s">
        <v>359</v>
      </c>
      <c r="F3" t="s">
        <v>361</v>
      </c>
      <c r="G3" t="s">
        <v>362</v>
      </c>
      <c r="H3" t="s">
        <v>265</v>
      </c>
      <c r="I3" t="s">
        <v>363</v>
      </c>
      <c r="J3" t="s">
        <v>1174</v>
      </c>
      <c r="K3" t="s">
        <v>360</v>
      </c>
    </row>
    <row r="4" spans="3:11">
      <c r="C4" t="s">
        <v>1985</v>
      </c>
      <c r="D4" t="s">
        <v>353</v>
      </c>
      <c r="E4" t="s">
        <v>354</v>
      </c>
      <c r="F4" t="s">
        <v>356</v>
      </c>
      <c r="G4" t="s">
        <v>357</v>
      </c>
      <c r="H4" t="s">
        <v>265</v>
      </c>
      <c r="I4" t="s">
        <v>358</v>
      </c>
      <c r="J4" t="s">
        <v>1173</v>
      </c>
      <c r="K4" t="s">
        <v>355</v>
      </c>
    </row>
    <row r="5" spans="3:11">
      <c r="C5" t="s">
        <v>1986</v>
      </c>
      <c r="D5" t="s">
        <v>1099</v>
      </c>
      <c r="E5" t="s">
        <v>445</v>
      </c>
      <c r="F5" t="s">
        <v>1530</v>
      </c>
      <c r="G5" t="s">
        <v>1099</v>
      </c>
      <c r="H5" t="s">
        <v>264</v>
      </c>
      <c r="I5" t="s">
        <v>1099</v>
      </c>
      <c r="J5" t="s">
        <v>446</v>
      </c>
      <c r="K5" t="s">
        <v>447</v>
      </c>
    </row>
    <row r="6" spans="3:11">
      <c r="C6" t="s">
        <v>1987</v>
      </c>
      <c r="D6" t="s">
        <v>1099</v>
      </c>
      <c r="E6" t="s">
        <v>260</v>
      </c>
      <c r="F6" t="s">
        <v>321</v>
      </c>
      <c r="G6" t="s">
        <v>1099</v>
      </c>
      <c r="H6" t="s">
        <v>265</v>
      </c>
      <c r="I6" t="s">
        <v>1099</v>
      </c>
      <c r="J6" t="s">
        <v>1906</v>
      </c>
      <c r="K6" t="s">
        <v>320</v>
      </c>
    </row>
    <row r="7" spans="3:11">
      <c r="C7" t="s">
        <v>1988</v>
      </c>
      <c r="D7" t="s">
        <v>1099</v>
      </c>
      <c r="E7" t="s">
        <v>1319</v>
      </c>
      <c r="F7" t="s">
        <v>1052</v>
      </c>
      <c r="G7" t="s">
        <v>1099</v>
      </c>
      <c r="H7" t="s">
        <v>265</v>
      </c>
      <c r="I7" t="s">
        <v>1099</v>
      </c>
      <c r="J7" t="s">
        <v>1451</v>
      </c>
      <c r="K7" t="s">
        <v>1099</v>
      </c>
    </row>
    <row r="8" spans="3:11">
      <c r="C8" t="s">
        <v>1977</v>
      </c>
      <c r="D8" t="s">
        <v>779</v>
      </c>
      <c r="E8" t="s">
        <v>780</v>
      </c>
      <c r="F8" t="s">
        <v>781</v>
      </c>
      <c r="G8" t="s">
        <v>1099</v>
      </c>
      <c r="H8" t="s">
        <v>265</v>
      </c>
      <c r="I8" t="s">
        <v>1099</v>
      </c>
      <c r="J8" t="s">
        <v>1440</v>
      </c>
      <c r="K8" t="s">
        <v>1099</v>
      </c>
    </row>
    <row r="9" spans="3:11">
      <c r="C9" t="s">
        <v>1978</v>
      </c>
      <c r="D9" t="s">
        <v>1099</v>
      </c>
      <c r="E9" t="s">
        <v>1497</v>
      </c>
      <c r="F9" t="s">
        <v>1751</v>
      </c>
      <c r="G9" t="s">
        <v>1099</v>
      </c>
      <c r="H9" t="s">
        <v>265</v>
      </c>
      <c r="I9" t="s">
        <v>1099</v>
      </c>
      <c r="J9" t="s">
        <v>1498</v>
      </c>
      <c r="K9" t="s">
        <v>1099</v>
      </c>
    </row>
    <row r="10" spans="3:11">
      <c r="C10" t="s">
        <v>1979</v>
      </c>
      <c r="D10" t="s">
        <v>507</v>
      </c>
      <c r="E10" t="s">
        <v>508</v>
      </c>
      <c r="F10" t="s">
        <v>509</v>
      </c>
      <c r="G10" t="s">
        <v>1099</v>
      </c>
      <c r="H10" t="s">
        <v>265</v>
      </c>
      <c r="I10" t="s">
        <v>1099</v>
      </c>
      <c r="J10" t="s">
        <v>1205</v>
      </c>
      <c r="K10" t="s">
        <v>1099</v>
      </c>
    </row>
    <row r="11" spans="3:11">
      <c r="C11" t="s">
        <v>1980</v>
      </c>
      <c r="D11" t="s">
        <v>345</v>
      </c>
      <c r="E11" t="s">
        <v>973</v>
      </c>
      <c r="F11" t="s">
        <v>1509</v>
      </c>
      <c r="G11" t="s">
        <v>1660</v>
      </c>
      <c r="H11" t="s">
        <v>265</v>
      </c>
      <c r="I11" t="s">
        <v>1365</v>
      </c>
      <c r="J11" t="s">
        <v>1514</v>
      </c>
      <c r="K11" t="s">
        <v>346</v>
      </c>
    </row>
    <row r="12" spans="3:11">
      <c r="C12" t="s">
        <v>1981</v>
      </c>
      <c r="D12" t="s">
        <v>1099</v>
      </c>
      <c r="E12" t="s">
        <v>566</v>
      </c>
      <c r="F12" t="s">
        <v>567</v>
      </c>
      <c r="G12" t="s">
        <v>1099</v>
      </c>
      <c r="H12" t="s">
        <v>265</v>
      </c>
      <c r="I12" t="s">
        <v>1099</v>
      </c>
      <c r="J12" t="s">
        <v>1218</v>
      </c>
      <c r="K12" t="s">
        <v>1099</v>
      </c>
    </row>
    <row r="13" spans="3:11">
      <c r="C13" t="s">
        <v>1982</v>
      </c>
      <c r="D13" t="s">
        <v>576</v>
      </c>
      <c r="E13" t="s">
        <v>577</v>
      </c>
      <c r="F13" t="s">
        <v>1745</v>
      </c>
      <c r="G13" t="s">
        <v>1099</v>
      </c>
      <c r="H13" t="s">
        <v>266</v>
      </c>
      <c r="I13" t="s">
        <v>1099</v>
      </c>
      <c r="J13" t="s">
        <v>1429</v>
      </c>
      <c r="K13" t="s">
        <v>1638</v>
      </c>
    </row>
    <row r="14" spans="3:11">
      <c r="C14" t="s">
        <v>1989</v>
      </c>
      <c r="D14" t="s">
        <v>1099</v>
      </c>
      <c r="E14" t="s">
        <v>1959</v>
      </c>
      <c r="F14" t="s">
        <v>1099</v>
      </c>
      <c r="G14" t="s">
        <v>1099</v>
      </c>
      <c r="H14" t="s">
        <v>265</v>
      </c>
      <c r="I14" t="s">
        <v>1961</v>
      </c>
      <c r="J14" t="s">
        <v>1960</v>
      </c>
      <c r="K14" t="s">
        <v>1099</v>
      </c>
    </row>
    <row r="15" spans="3:11">
      <c r="C15" t="s">
        <v>1990</v>
      </c>
      <c r="D15" t="s">
        <v>1955</v>
      </c>
      <c r="E15" t="s">
        <v>1956</v>
      </c>
      <c r="F15" t="s">
        <v>1099</v>
      </c>
      <c r="G15" t="s">
        <v>1099</v>
      </c>
      <c r="H15" t="s">
        <v>265</v>
      </c>
      <c r="I15" t="s">
        <v>1958</v>
      </c>
      <c r="J15" t="s">
        <v>1957</v>
      </c>
      <c r="K15" t="s">
        <v>1099</v>
      </c>
    </row>
    <row r="16" spans="3:11">
      <c r="C16" t="s">
        <v>1991</v>
      </c>
      <c r="D16" t="s">
        <v>637</v>
      </c>
      <c r="E16" t="s">
        <v>638</v>
      </c>
      <c r="F16" t="s">
        <v>1669</v>
      </c>
      <c r="G16" t="s">
        <v>639</v>
      </c>
      <c r="H16" t="s">
        <v>264</v>
      </c>
      <c r="I16" t="s">
        <v>1099</v>
      </c>
      <c r="J16" t="s">
        <v>1226</v>
      </c>
      <c r="K16" t="s">
        <v>1099</v>
      </c>
    </row>
    <row r="17" spans="3:13">
      <c r="C17" t="s">
        <v>1992</v>
      </c>
      <c r="D17" t="s">
        <v>261</v>
      </c>
      <c r="E17" t="s">
        <v>322</v>
      </c>
      <c r="F17" t="s">
        <v>323</v>
      </c>
      <c r="G17" t="s">
        <v>324</v>
      </c>
      <c r="H17" t="s">
        <v>265</v>
      </c>
      <c r="I17" t="s">
        <v>325</v>
      </c>
      <c r="J17" t="s">
        <v>1169</v>
      </c>
      <c r="K17" t="s">
        <v>1701</v>
      </c>
    </row>
    <row r="18" spans="3:13">
      <c r="C18" t="s">
        <v>2069</v>
      </c>
      <c r="D18" t="s">
        <v>2070</v>
      </c>
      <c r="E18" t="s">
        <v>1099</v>
      </c>
      <c r="F18" t="s">
        <v>1099</v>
      </c>
      <c r="G18" t="s">
        <v>264</v>
      </c>
      <c r="H18" t="s">
        <v>1099</v>
      </c>
      <c r="I18" t="s">
        <v>2068</v>
      </c>
      <c r="J18" t="s">
        <v>1099</v>
      </c>
    </row>
    <row r="19" spans="3:13">
      <c r="C19" t="s">
        <v>1755</v>
      </c>
      <c r="D19" t="s">
        <v>1729</v>
      </c>
      <c r="E19" t="s">
        <v>1757</v>
      </c>
      <c r="F19" t="s">
        <v>1099</v>
      </c>
      <c r="G19" t="s">
        <v>266</v>
      </c>
      <c r="H19" t="s">
        <v>1099</v>
      </c>
      <c r="I19" t="s">
        <v>1756</v>
      </c>
      <c r="J19" t="s">
        <v>267</v>
      </c>
    </row>
    <row r="20" spans="3:13">
      <c r="C20" t="s">
        <v>1099</v>
      </c>
      <c r="D20" t="s">
        <v>370</v>
      </c>
      <c r="E20" t="s">
        <v>372</v>
      </c>
      <c r="F20" t="s">
        <v>1099</v>
      </c>
      <c r="G20" t="s">
        <v>265</v>
      </c>
      <c r="H20" t="s">
        <v>1099</v>
      </c>
      <c r="I20" t="s">
        <v>1176</v>
      </c>
      <c r="J20" t="s">
        <v>371</v>
      </c>
    </row>
    <row r="21" spans="3:13">
      <c r="C21" t="s">
        <v>1357</v>
      </c>
      <c r="D21" t="s">
        <v>1512</v>
      </c>
      <c r="E21" t="s">
        <v>1799</v>
      </c>
      <c r="F21" t="s">
        <v>1099</v>
      </c>
      <c r="G21" t="s">
        <v>1339</v>
      </c>
      <c r="H21" t="s">
        <v>1736</v>
      </c>
      <c r="I21" t="s">
        <v>1513</v>
      </c>
      <c r="J21" t="s">
        <v>1798</v>
      </c>
    </row>
    <row r="22" spans="3:13">
      <c r="C22" t="s">
        <v>1099</v>
      </c>
      <c r="D22" t="s">
        <v>430</v>
      </c>
      <c r="E22" t="s">
        <v>1784</v>
      </c>
      <c r="F22" t="s">
        <v>431</v>
      </c>
      <c r="G22" t="s">
        <v>265</v>
      </c>
      <c r="H22" t="s">
        <v>432</v>
      </c>
      <c r="I22" t="s">
        <v>1189</v>
      </c>
      <c r="J22" t="s">
        <v>1920</v>
      </c>
    </row>
    <row r="23" spans="3:13">
      <c r="C23" t="s">
        <v>2094</v>
      </c>
      <c r="D23" t="s">
        <v>1099</v>
      </c>
      <c r="E23" t="s">
        <v>694</v>
      </c>
      <c r="F23" t="s">
        <v>1099</v>
      </c>
      <c r="G23" t="s">
        <v>1099</v>
      </c>
      <c r="H23" t="s">
        <v>1099</v>
      </c>
      <c r="I23" t="s">
        <v>1236</v>
      </c>
      <c r="J23" t="s">
        <v>1099</v>
      </c>
    </row>
    <row r="24" spans="3:13">
      <c r="C24" t="s">
        <v>860</v>
      </c>
      <c r="D24" t="s">
        <v>861</v>
      </c>
      <c r="E24" t="s">
        <v>864</v>
      </c>
      <c r="F24" t="s">
        <v>1099</v>
      </c>
      <c r="G24" t="s">
        <v>266</v>
      </c>
      <c r="H24" t="s">
        <v>1099</v>
      </c>
      <c r="I24" t="s">
        <v>862</v>
      </c>
      <c r="J24" t="s">
        <v>863</v>
      </c>
    </row>
    <row r="25" spans="3:13">
      <c r="C25" t="s">
        <v>606</v>
      </c>
      <c r="D25" t="s">
        <v>607</v>
      </c>
      <c r="E25" t="s">
        <v>609</v>
      </c>
      <c r="F25" t="s">
        <v>1099</v>
      </c>
      <c r="G25" t="s">
        <v>264</v>
      </c>
      <c r="H25" t="s">
        <v>1099</v>
      </c>
      <c r="I25" t="s">
        <v>1224</v>
      </c>
      <c r="J25" t="s">
        <v>608</v>
      </c>
    </row>
    <row r="26" spans="3:13">
      <c r="C26" t="s">
        <v>474</v>
      </c>
      <c r="D26" t="s">
        <v>475</v>
      </c>
      <c r="E26" t="s">
        <v>1788</v>
      </c>
      <c r="F26" t="s">
        <v>477</v>
      </c>
      <c r="G26" t="s">
        <v>264</v>
      </c>
      <c r="H26" t="s">
        <v>478</v>
      </c>
      <c r="I26" t="s">
        <v>1198</v>
      </c>
      <c r="J26" t="s">
        <v>476</v>
      </c>
    </row>
    <row r="27" spans="3:13" ht="17" thickBot="1"/>
    <row r="28" spans="3:13" ht="34">
      <c r="D28" s="200" t="s">
        <v>1974</v>
      </c>
      <c r="E28" s="200" t="s">
        <v>1975</v>
      </c>
      <c r="F28" s="200" t="s">
        <v>237</v>
      </c>
      <c r="G28" s="200" t="s">
        <v>1976</v>
      </c>
      <c r="H28" s="200" t="s">
        <v>275</v>
      </c>
      <c r="I28" s="199"/>
      <c r="M28" s="197" t="s">
        <v>1993</v>
      </c>
    </row>
    <row r="29" spans="3:13" ht="239" thickBot="1">
      <c r="D29" s="88" t="s">
        <v>1197</v>
      </c>
      <c r="E29" s="88" t="s">
        <v>2024</v>
      </c>
      <c r="F29" s="88" t="s">
        <v>472</v>
      </c>
      <c r="G29" s="201" t="s">
        <v>2040</v>
      </c>
      <c r="H29" s="88" t="s">
        <v>2061</v>
      </c>
      <c r="M29" s="198" t="s">
        <v>1994</v>
      </c>
    </row>
    <row r="30" spans="3:13" ht="170">
      <c r="D30" s="88" t="s">
        <v>359</v>
      </c>
      <c r="E30" s="88" t="s">
        <v>2025</v>
      </c>
      <c r="F30" s="88" t="s">
        <v>363</v>
      </c>
      <c r="G30" s="201" t="s">
        <v>2041</v>
      </c>
      <c r="H30" s="88" t="s">
        <v>2062</v>
      </c>
      <c r="M30" s="195" t="s">
        <v>1995</v>
      </c>
    </row>
    <row r="31" spans="3:13" ht="120" thickBot="1">
      <c r="D31" s="88" t="s">
        <v>1985</v>
      </c>
      <c r="E31" s="88" t="s">
        <v>2026</v>
      </c>
      <c r="F31" s="88" t="s">
        <v>358</v>
      </c>
      <c r="G31" s="201" t="s">
        <v>2042</v>
      </c>
      <c r="H31" s="88" t="s">
        <v>2063</v>
      </c>
      <c r="M31" s="198" t="s">
        <v>1996</v>
      </c>
    </row>
    <row r="32" spans="3:13" ht="306">
      <c r="D32" s="88" t="s">
        <v>445</v>
      </c>
      <c r="E32" s="88" t="s">
        <v>2036</v>
      </c>
      <c r="F32" s="88" t="s">
        <v>2043</v>
      </c>
      <c r="G32" s="201" t="s">
        <v>2044</v>
      </c>
      <c r="H32" s="88" t="s">
        <v>447</v>
      </c>
      <c r="M32" s="195" t="s">
        <v>1997</v>
      </c>
    </row>
    <row r="33" spans="4:13" ht="154" thickBot="1">
      <c r="D33" s="88" t="s">
        <v>1987</v>
      </c>
      <c r="E33" s="88" t="s">
        <v>2027</v>
      </c>
      <c r="F33" s="88" t="s">
        <v>2045</v>
      </c>
      <c r="G33" s="201" t="s">
        <v>2046</v>
      </c>
      <c r="H33" s="88" t="s">
        <v>320</v>
      </c>
      <c r="M33" s="198" t="s">
        <v>1996</v>
      </c>
    </row>
    <row r="34" spans="4:13" ht="238">
      <c r="D34" s="88" t="s">
        <v>1988</v>
      </c>
      <c r="E34" s="88" t="s">
        <v>2028</v>
      </c>
      <c r="F34" s="88" t="s">
        <v>2047</v>
      </c>
      <c r="G34" s="201" t="s">
        <v>2048</v>
      </c>
      <c r="H34" s="88" t="s">
        <v>1099</v>
      </c>
      <c r="M34" s="195" t="s">
        <v>1998</v>
      </c>
    </row>
    <row r="35" spans="4:13" ht="238">
      <c r="D35" s="88" t="s">
        <v>1977</v>
      </c>
      <c r="E35" s="88" t="s">
        <v>2029</v>
      </c>
      <c r="F35" s="88" t="s">
        <v>2058</v>
      </c>
      <c r="G35" s="201" t="s">
        <v>2049</v>
      </c>
      <c r="H35" s="88" t="s">
        <v>1099</v>
      </c>
      <c r="M35" s="196" t="s">
        <v>1996</v>
      </c>
    </row>
    <row r="36" spans="4:13" ht="170">
      <c r="D36" s="88" t="s">
        <v>1978</v>
      </c>
      <c r="E36" s="88" t="s">
        <v>2030</v>
      </c>
      <c r="F36" s="88" t="s">
        <v>2059</v>
      </c>
      <c r="G36" s="201" t="s">
        <v>2050</v>
      </c>
      <c r="H36" s="88" t="s">
        <v>1099</v>
      </c>
      <c r="M36" s="195" t="s">
        <v>1999</v>
      </c>
    </row>
    <row r="37" spans="4:13" ht="409.6">
      <c r="D37" s="88" t="s">
        <v>1979</v>
      </c>
      <c r="E37" s="88" t="s">
        <v>2037</v>
      </c>
      <c r="F37" s="88" t="s">
        <v>2060</v>
      </c>
      <c r="G37" s="201" t="s">
        <v>1205</v>
      </c>
      <c r="H37" s="88" t="s">
        <v>2064</v>
      </c>
      <c r="M37" s="196" t="s">
        <v>1996</v>
      </c>
    </row>
    <row r="38" spans="4:13" ht="409.6">
      <c r="D38" s="88" t="s">
        <v>1980</v>
      </c>
      <c r="E38" s="88" t="s">
        <v>2031</v>
      </c>
      <c r="F38" s="88" t="s">
        <v>1365</v>
      </c>
      <c r="G38" s="201" t="s">
        <v>1514</v>
      </c>
      <c r="H38" s="88" t="s">
        <v>346</v>
      </c>
      <c r="M38" s="195" t="s">
        <v>2000</v>
      </c>
    </row>
    <row r="39" spans="4:13" ht="373" thickBot="1">
      <c r="D39" s="88" t="s">
        <v>1981</v>
      </c>
      <c r="E39" s="88" t="s">
        <v>2032</v>
      </c>
      <c r="F39" s="88" t="s">
        <v>2051</v>
      </c>
      <c r="G39" s="201" t="s">
        <v>2052</v>
      </c>
      <c r="H39" s="88" t="s">
        <v>1099</v>
      </c>
      <c r="M39" s="198" t="s">
        <v>1996</v>
      </c>
    </row>
    <row r="40" spans="4:13" ht="238">
      <c r="D40" s="88" t="s">
        <v>1982</v>
      </c>
      <c r="E40" s="88" t="s">
        <v>2038</v>
      </c>
      <c r="F40" s="88" t="s">
        <v>2043</v>
      </c>
      <c r="G40" s="201" t="s">
        <v>2053</v>
      </c>
      <c r="H40" s="88" t="s">
        <v>1638</v>
      </c>
      <c r="M40" s="195" t="s">
        <v>2001</v>
      </c>
    </row>
    <row r="41" spans="4:13" ht="239" thickBot="1">
      <c r="D41" s="88" t="s">
        <v>1989</v>
      </c>
      <c r="E41" s="88" t="s">
        <v>2033</v>
      </c>
      <c r="F41" s="88" t="s">
        <v>1961</v>
      </c>
      <c r="G41" s="201" t="s">
        <v>2054</v>
      </c>
      <c r="H41" s="88" t="s">
        <v>1099</v>
      </c>
      <c r="M41" s="198" t="s">
        <v>1994</v>
      </c>
    </row>
    <row r="42" spans="4:13" ht="187">
      <c r="D42" s="88" t="s">
        <v>1990</v>
      </c>
      <c r="E42" s="88" t="s">
        <v>2039</v>
      </c>
      <c r="F42" s="88" t="s">
        <v>1958</v>
      </c>
      <c r="G42" s="201" t="s">
        <v>2055</v>
      </c>
      <c r="H42" s="88" t="s">
        <v>1099</v>
      </c>
      <c r="M42" s="195" t="s">
        <v>2002</v>
      </c>
    </row>
    <row r="43" spans="4:13" ht="205" thickBot="1">
      <c r="D43" s="88" t="s">
        <v>1991</v>
      </c>
      <c r="E43" s="88" t="s">
        <v>2034</v>
      </c>
      <c r="F43" s="88" t="s">
        <v>1099</v>
      </c>
      <c r="G43" s="201" t="s">
        <v>2056</v>
      </c>
      <c r="H43" s="88" t="s">
        <v>2065</v>
      </c>
      <c r="M43" s="198" t="s">
        <v>1994</v>
      </c>
    </row>
    <row r="44" spans="4:13" ht="272">
      <c r="D44" s="88" t="s">
        <v>1992</v>
      </c>
      <c r="E44" s="88" t="s">
        <v>2035</v>
      </c>
      <c r="F44" s="88" t="s">
        <v>325</v>
      </c>
      <c r="G44" s="201" t="s">
        <v>2057</v>
      </c>
      <c r="H44" s="88" t="s">
        <v>2066</v>
      </c>
      <c r="M44" s="196" t="s">
        <v>2003</v>
      </c>
    </row>
    <row r="45" spans="4:13" ht="69" thickBot="1">
      <c r="D45" s="88" t="s">
        <v>2074</v>
      </c>
      <c r="E45" s="88" t="s">
        <v>2085</v>
      </c>
      <c r="F45" s="88" t="s">
        <v>1484</v>
      </c>
      <c r="G45" t="s">
        <v>2078</v>
      </c>
      <c r="H45" s="88" t="s">
        <v>2090</v>
      </c>
      <c r="M45" s="198" t="s">
        <v>1994</v>
      </c>
    </row>
    <row r="46" spans="4:13" ht="34">
      <c r="D46" s="32" t="s">
        <v>2075</v>
      </c>
      <c r="E46" s="88" t="s">
        <v>2086</v>
      </c>
      <c r="F46" s="88" t="s">
        <v>2084</v>
      </c>
      <c r="G46" t="s">
        <v>2079</v>
      </c>
      <c r="H46" t="s">
        <v>267</v>
      </c>
      <c r="M46" s="195" t="s">
        <v>2004</v>
      </c>
    </row>
    <row r="47" spans="4:13" ht="35" thickBot="1">
      <c r="D47" t="s">
        <v>2076</v>
      </c>
      <c r="E47" s="202" t="s">
        <v>2087</v>
      </c>
      <c r="F47" t="s">
        <v>2080</v>
      </c>
      <c r="G47" t="s">
        <v>2081</v>
      </c>
      <c r="H47" t="s">
        <v>2091</v>
      </c>
      <c r="M47" s="198" t="s">
        <v>1994</v>
      </c>
    </row>
    <row r="48" spans="4:13" ht="34">
      <c r="D48" s="32" t="s">
        <v>1901</v>
      </c>
      <c r="E48" s="202" t="s">
        <v>2088</v>
      </c>
      <c r="F48" t="s">
        <v>1736</v>
      </c>
      <c r="G48" t="s">
        <v>2082</v>
      </c>
      <c r="H48" t="s">
        <v>2092</v>
      </c>
      <c r="M48" s="195" t="s">
        <v>2005</v>
      </c>
    </row>
    <row r="49" spans="4:13" ht="68">
      <c r="D49" t="s">
        <v>2077</v>
      </c>
      <c r="E49" s="202" t="s">
        <v>2089</v>
      </c>
      <c r="F49" t="s">
        <v>432</v>
      </c>
      <c r="G49" t="s">
        <v>2083</v>
      </c>
      <c r="H49" t="s">
        <v>1920</v>
      </c>
      <c r="M49" s="196" t="s">
        <v>2006</v>
      </c>
    </row>
    <row r="50" spans="4:13" ht="28">
      <c r="D50" t="s">
        <v>2098</v>
      </c>
      <c r="F50" t="s">
        <v>2099</v>
      </c>
      <c r="G50" t="s">
        <v>2100</v>
      </c>
      <c r="H50" t="s">
        <v>1099</v>
      </c>
      <c r="M50" s="195" t="s">
        <v>2007</v>
      </c>
    </row>
    <row r="51" spans="4:13" ht="31" thickBot="1">
      <c r="D51" t="s">
        <v>2096</v>
      </c>
      <c r="F51" t="s">
        <v>2105</v>
      </c>
      <c r="G51" t="s">
        <v>2101</v>
      </c>
      <c r="H51" t="s">
        <v>863</v>
      </c>
      <c r="M51" s="198" t="s">
        <v>2008</v>
      </c>
    </row>
    <row r="52" spans="4:13" ht="42">
      <c r="D52" t="s">
        <v>2097</v>
      </c>
      <c r="F52" t="s">
        <v>2102</v>
      </c>
      <c r="G52" t="s">
        <v>2103</v>
      </c>
      <c r="H52" t="s">
        <v>608</v>
      </c>
      <c r="M52" s="195" t="s">
        <v>2009</v>
      </c>
    </row>
    <row r="53" spans="4:13" ht="17" thickBot="1">
      <c r="D53" t="s">
        <v>1891</v>
      </c>
      <c r="F53" t="s">
        <v>429</v>
      </c>
      <c r="G53" t="s">
        <v>2104</v>
      </c>
      <c r="H53" t="s">
        <v>476</v>
      </c>
      <c r="M53" s="198" t="s">
        <v>2010</v>
      </c>
    </row>
    <row r="54" spans="4:13">
      <c r="M54" s="195" t="s">
        <v>2011</v>
      </c>
    </row>
    <row r="55" spans="4:13" ht="17" thickBot="1">
      <c r="M55" s="198" t="s">
        <v>2010</v>
      </c>
    </row>
    <row r="56" spans="4:13">
      <c r="M56" s="195" t="s">
        <v>2012</v>
      </c>
    </row>
    <row r="57" spans="4:13">
      <c r="M57" s="196" t="s">
        <v>2013</v>
      </c>
    </row>
    <row r="58" spans="4:13">
      <c r="M58" s="195" t="s">
        <v>2014</v>
      </c>
    </row>
    <row r="59" spans="4:13" ht="31" thickBot="1">
      <c r="M59" s="198" t="s">
        <v>2015</v>
      </c>
    </row>
    <row r="60" spans="4:13">
      <c r="M60" s="195" t="s">
        <v>2016</v>
      </c>
    </row>
    <row r="61" spans="4:13" ht="31" thickBot="1">
      <c r="M61" s="198" t="s">
        <v>2017</v>
      </c>
    </row>
    <row r="62" spans="4:13">
      <c r="M62" s="195" t="s">
        <v>2018</v>
      </c>
    </row>
    <row r="63" spans="4:13" ht="30">
      <c r="M63" s="196" t="s">
        <v>1996</v>
      </c>
    </row>
    <row r="64" spans="4:13">
      <c r="M64" s="195" t="s">
        <v>2019</v>
      </c>
    </row>
    <row r="65" spans="13:13" ht="17" thickBot="1">
      <c r="M65" s="198" t="s">
        <v>2010</v>
      </c>
    </row>
    <row r="66" spans="13:13">
      <c r="M66" s="195" t="s">
        <v>2020</v>
      </c>
    </row>
    <row r="67" spans="13:13" ht="31" thickBot="1">
      <c r="M67" s="198" t="s">
        <v>2021</v>
      </c>
    </row>
    <row r="68" spans="13:13">
      <c r="M68" s="196" t="s">
        <v>2022</v>
      </c>
    </row>
    <row r="69" spans="13:13" ht="31" thickBot="1">
      <c r="M69" s="198" t="s">
        <v>2023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79671-FEB7-BB48-97EC-BDC2EC4B07A7}">
  <sheetPr codeName="Sheet3"/>
  <dimension ref="A1:S15"/>
  <sheetViews>
    <sheetView topLeftCell="A6" zoomScale="200" workbookViewId="0">
      <selection activeCell="E18" sqref="E18"/>
    </sheetView>
  </sheetViews>
  <sheetFormatPr baseColWidth="10" defaultRowHeight="16"/>
  <cols>
    <col min="2" max="2" width="14" customWidth="1"/>
    <col min="3" max="3" width="17.5" customWidth="1"/>
    <col min="6" max="7" width="12.83203125" bestFit="1" customWidth="1"/>
    <col min="10" max="10" width="24.5" customWidth="1"/>
    <col min="12" max="12" width="25.83203125" customWidth="1"/>
    <col min="13" max="13" width="27.83203125" customWidth="1"/>
    <col min="14" max="14" width="22.1640625" customWidth="1"/>
    <col min="15" max="15" width="21.83203125" customWidth="1"/>
    <col min="16" max="16" width="18.83203125" customWidth="1"/>
  </cols>
  <sheetData>
    <row r="1" spans="1:19" s="110" customFormat="1" ht="27.5" customHeight="1">
      <c r="A1" s="106"/>
      <c r="B1" s="106"/>
      <c r="C1" s="106"/>
      <c r="D1" s="203" t="s">
        <v>1715</v>
      </c>
      <c r="E1" s="203"/>
      <c r="F1" s="203"/>
      <c r="G1" s="203"/>
      <c r="H1" s="203"/>
      <c r="I1" s="203"/>
      <c r="J1" s="203"/>
      <c r="K1" s="106"/>
      <c r="L1" s="107"/>
      <c r="M1" s="108"/>
      <c r="N1" s="108"/>
      <c r="O1" s="109"/>
      <c r="P1" s="108"/>
      <c r="R1" s="120" t="s">
        <v>1113</v>
      </c>
      <c r="S1" s="119" t="s">
        <v>1114</v>
      </c>
    </row>
    <row r="2" spans="1:19" s="112" customFormat="1" ht="29">
      <c r="A2" s="122" t="s">
        <v>1117</v>
      </c>
      <c r="B2" s="122" t="s">
        <v>1115</v>
      </c>
      <c r="C2" s="122" t="s">
        <v>1116</v>
      </c>
      <c r="D2" s="122" t="s">
        <v>273</v>
      </c>
      <c r="E2" s="123" t="s">
        <v>1118</v>
      </c>
      <c r="F2" s="122" t="s">
        <v>1119</v>
      </c>
      <c r="G2" s="122" t="s">
        <v>1120</v>
      </c>
      <c r="H2" s="122" t="s">
        <v>1121</v>
      </c>
      <c r="I2" s="122" t="s">
        <v>1122</v>
      </c>
      <c r="J2" s="122" t="s">
        <v>1123</v>
      </c>
      <c r="K2" s="125" t="s">
        <v>1156</v>
      </c>
      <c r="L2" s="111" t="s">
        <v>1157</v>
      </c>
      <c r="M2" s="122" t="s">
        <v>1124</v>
      </c>
      <c r="N2" s="124" t="s">
        <v>1125</v>
      </c>
      <c r="O2" s="122" t="s">
        <v>1126</v>
      </c>
      <c r="P2" s="122" t="s">
        <v>1127</v>
      </c>
    </row>
    <row r="3" spans="1:19" s="110" customFormat="1" ht="15">
      <c r="A3" s="187">
        <v>1</v>
      </c>
      <c r="B3" s="187" t="s">
        <v>1617</v>
      </c>
      <c r="C3" s="187" t="s">
        <v>570</v>
      </c>
      <c r="D3" s="120" t="s">
        <v>266</v>
      </c>
      <c r="E3" s="188">
        <v>46140</v>
      </c>
      <c r="F3" s="120" t="s">
        <v>1407</v>
      </c>
      <c r="G3" s="120"/>
      <c r="H3" s="187" t="s">
        <v>1618</v>
      </c>
      <c r="I3" s="120" t="s">
        <v>1114</v>
      </c>
      <c r="J3" s="120" t="s">
        <v>940</v>
      </c>
      <c r="K3" s="189"/>
      <c r="L3" s="187"/>
      <c r="M3" s="120"/>
      <c r="N3" s="190"/>
      <c r="O3" s="120"/>
      <c r="P3" s="120"/>
    </row>
    <row r="4" spans="1:19" s="170" customFormat="1" ht="90">
      <c r="A4" s="166">
        <v>2</v>
      </c>
      <c r="B4" s="167" t="s">
        <v>655</v>
      </c>
      <c r="C4" s="166" t="s">
        <v>656</v>
      </c>
      <c r="D4" s="167" t="s">
        <v>266</v>
      </c>
      <c r="E4" s="171">
        <v>46140</v>
      </c>
      <c r="F4" s="167" t="s">
        <v>1407</v>
      </c>
      <c r="G4" s="167"/>
      <c r="H4" s="166" t="s">
        <v>1618</v>
      </c>
      <c r="I4" s="167" t="s">
        <v>1114</v>
      </c>
      <c r="J4" s="166" t="s">
        <v>1619</v>
      </c>
      <c r="K4" s="168"/>
      <c r="L4" s="166"/>
      <c r="M4" s="167"/>
      <c r="N4" s="169"/>
      <c r="O4" s="167"/>
      <c r="P4" s="167"/>
    </row>
    <row r="5" spans="1:19" s="110" customFormat="1" ht="60">
      <c r="A5" s="187">
        <v>3</v>
      </c>
      <c r="B5" s="120" t="s">
        <v>722</v>
      </c>
      <c r="C5" s="187" t="s">
        <v>723</v>
      </c>
      <c r="D5" s="120" t="s">
        <v>1339</v>
      </c>
      <c r="E5" s="188">
        <v>46140</v>
      </c>
      <c r="F5" s="120" t="s">
        <v>1407</v>
      </c>
      <c r="G5" s="120"/>
      <c r="H5" s="187" t="s">
        <v>1618</v>
      </c>
      <c r="I5" s="120" t="s">
        <v>1114</v>
      </c>
      <c r="J5" s="120" t="s">
        <v>1620</v>
      </c>
      <c r="K5" s="189"/>
      <c r="L5" s="187"/>
      <c r="M5" s="120"/>
      <c r="N5" s="190"/>
      <c r="O5" s="120"/>
      <c r="P5" s="120"/>
    </row>
    <row r="6" spans="1:19" s="170" customFormat="1" ht="44">
      <c r="A6" s="166">
        <v>4</v>
      </c>
      <c r="B6" s="167" t="s">
        <v>637</v>
      </c>
      <c r="C6" s="166" t="s">
        <v>638</v>
      </c>
      <c r="D6" s="167" t="s">
        <v>266</v>
      </c>
      <c r="E6" s="171">
        <v>46140</v>
      </c>
      <c r="F6" s="167" t="s">
        <v>1407</v>
      </c>
      <c r="G6" s="167"/>
      <c r="H6" s="167" t="s">
        <v>1408</v>
      </c>
      <c r="I6" s="167" t="s">
        <v>1114</v>
      </c>
      <c r="J6" s="167" t="s">
        <v>1621</v>
      </c>
      <c r="K6" s="168"/>
      <c r="L6" s="166"/>
      <c r="M6" s="167"/>
      <c r="N6" s="169"/>
      <c r="O6" s="167"/>
      <c r="P6" s="167"/>
    </row>
    <row r="7" spans="1:19" s="110" customFormat="1" ht="45">
      <c r="A7" s="187">
        <v>5</v>
      </c>
      <c r="B7" s="120" t="s">
        <v>786</v>
      </c>
      <c r="C7" s="187" t="s">
        <v>787</v>
      </c>
      <c r="D7" s="120" t="s">
        <v>1539</v>
      </c>
      <c r="E7" s="188">
        <v>46143</v>
      </c>
      <c r="F7" s="120" t="s">
        <v>1683</v>
      </c>
      <c r="G7" s="120"/>
      <c r="H7" s="187" t="s">
        <v>1618</v>
      </c>
      <c r="I7" s="120" t="s">
        <v>1114</v>
      </c>
      <c r="J7" s="120" t="s">
        <v>1716</v>
      </c>
      <c r="K7" s="189"/>
      <c r="L7" s="187"/>
      <c r="M7" s="120"/>
      <c r="N7" s="190"/>
      <c r="O7" s="120"/>
      <c r="P7" s="120"/>
    </row>
    <row r="8" spans="1:19" s="170" customFormat="1" ht="15">
      <c r="A8" s="166">
        <v>6</v>
      </c>
      <c r="B8" s="167" t="s">
        <v>1337</v>
      </c>
      <c r="C8" s="166" t="s">
        <v>1338</v>
      </c>
      <c r="D8" s="167" t="s">
        <v>1339</v>
      </c>
      <c r="E8" s="171">
        <v>46143</v>
      </c>
      <c r="F8" s="167" t="s">
        <v>1683</v>
      </c>
      <c r="G8" s="167"/>
      <c r="H8" s="166" t="s">
        <v>1618</v>
      </c>
      <c r="I8" s="167" t="s">
        <v>1114</v>
      </c>
      <c r="J8" s="166" t="s">
        <v>1717</v>
      </c>
      <c r="K8" s="168"/>
      <c r="L8" s="166"/>
      <c r="M8" s="167"/>
      <c r="N8" s="169"/>
      <c r="O8" s="167"/>
      <c r="P8" s="167"/>
    </row>
    <row r="9" spans="1:19" s="110" customFormat="1" ht="88">
      <c r="A9" s="187">
        <v>7</v>
      </c>
      <c r="B9" s="120" t="s">
        <v>1194</v>
      </c>
      <c r="C9" s="187" t="s">
        <v>455</v>
      </c>
      <c r="D9" s="120" t="s">
        <v>1539</v>
      </c>
      <c r="E9" s="188">
        <v>46143</v>
      </c>
      <c r="F9" s="120" t="s">
        <v>1683</v>
      </c>
      <c r="G9" s="120"/>
      <c r="H9" s="187" t="s">
        <v>1618</v>
      </c>
      <c r="I9" s="120" t="s">
        <v>1114</v>
      </c>
      <c r="J9" s="187" t="s">
        <v>1718</v>
      </c>
      <c r="K9" s="189"/>
      <c r="L9" s="187"/>
      <c r="M9" s="120"/>
      <c r="N9" s="190"/>
      <c r="O9" s="120"/>
      <c r="P9" s="120"/>
    </row>
    <row r="10" spans="1:19" s="170" customFormat="1" ht="45">
      <c r="A10" s="166">
        <v>8</v>
      </c>
      <c r="B10" s="167" t="s">
        <v>786</v>
      </c>
      <c r="C10" s="166" t="s">
        <v>787</v>
      </c>
      <c r="D10" s="167" t="s">
        <v>1539</v>
      </c>
      <c r="E10" s="171">
        <v>46143</v>
      </c>
      <c r="F10" s="167" t="s">
        <v>1683</v>
      </c>
      <c r="G10" s="167"/>
      <c r="H10" s="166" t="s">
        <v>1618</v>
      </c>
      <c r="I10" s="167" t="s">
        <v>1114</v>
      </c>
      <c r="J10" s="167" t="s">
        <v>1716</v>
      </c>
      <c r="K10" s="168"/>
      <c r="L10" s="166"/>
      <c r="M10" s="167"/>
      <c r="N10" s="169"/>
      <c r="O10" s="167"/>
      <c r="P10" s="167"/>
    </row>
    <row r="11" spans="1:19" s="110" customFormat="1" ht="15">
      <c r="A11" s="187">
        <v>9</v>
      </c>
      <c r="B11" s="120" t="s">
        <v>1337</v>
      </c>
      <c r="C11" s="187" t="s">
        <v>1338</v>
      </c>
      <c r="D11" s="120" t="s">
        <v>1339</v>
      </c>
      <c r="E11" s="188">
        <v>46143</v>
      </c>
      <c r="F11" s="120" t="s">
        <v>1683</v>
      </c>
      <c r="G11" s="120"/>
      <c r="H11" s="187" t="s">
        <v>1618</v>
      </c>
      <c r="I11" s="120" t="s">
        <v>1114</v>
      </c>
      <c r="J11" s="187" t="s">
        <v>1717</v>
      </c>
      <c r="K11" s="189"/>
      <c r="L11" s="187"/>
      <c r="M11" s="120"/>
      <c r="N11" s="190"/>
      <c r="O11" s="120"/>
      <c r="P11" s="120"/>
    </row>
    <row r="12" spans="1:19" s="170" customFormat="1" ht="88">
      <c r="A12" s="166">
        <v>10</v>
      </c>
      <c r="B12" s="167" t="s">
        <v>1194</v>
      </c>
      <c r="C12" s="166" t="s">
        <v>455</v>
      </c>
      <c r="D12" s="167" t="s">
        <v>1539</v>
      </c>
      <c r="E12" s="171">
        <v>46143</v>
      </c>
      <c r="F12" s="167" t="s">
        <v>1683</v>
      </c>
      <c r="G12" s="167"/>
      <c r="H12" s="166" t="s">
        <v>1618</v>
      </c>
      <c r="I12" s="167" t="s">
        <v>1114</v>
      </c>
      <c r="J12" s="166" t="s">
        <v>1718</v>
      </c>
      <c r="K12" s="168"/>
      <c r="L12" s="166"/>
      <c r="M12" s="167"/>
      <c r="N12" s="169"/>
      <c r="O12" s="167"/>
      <c r="P12" s="167"/>
    </row>
    <row r="13" spans="1:19" s="110" customFormat="1" ht="15">
      <c r="A13" s="187">
        <v>11</v>
      </c>
      <c r="B13" s="120" t="s">
        <v>1685</v>
      </c>
      <c r="C13" s="187" t="s">
        <v>1713</v>
      </c>
      <c r="D13" s="120" t="s">
        <v>1059</v>
      </c>
      <c r="E13" s="188">
        <v>46154</v>
      </c>
      <c r="F13" s="120" t="s">
        <v>1680</v>
      </c>
      <c r="G13" s="120"/>
      <c r="H13" s="187" t="s">
        <v>1618</v>
      </c>
      <c r="I13" s="120" t="s">
        <v>1113</v>
      </c>
      <c r="J13" s="187"/>
      <c r="K13" s="189"/>
      <c r="L13" s="187"/>
      <c r="M13" s="120"/>
      <c r="N13" s="190"/>
      <c r="O13" s="120"/>
      <c r="P13" s="120"/>
    </row>
    <row r="14" spans="1:19" s="170" customFormat="1" ht="60">
      <c r="A14" s="166">
        <v>12</v>
      </c>
      <c r="B14" s="167" t="s">
        <v>261</v>
      </c>
      <c r="C14" s="166" t="s">
        <v>322</v>
      </c>
      <c r="D14" s="167" t="s">
        <v>265</v>
      </c>
      <c r="E14" s="171">
        <v>46155</v>
      </c>
      <c r="F14" s="167" t="s">
        <v>1680</v>
      </c>
      <c r="G14" s="167" t="s">
        <v>1719</v>
      </c>
      <c r="H14" s="166" t="s">
        <v>1618</v>
      </c>
      <c r="I14" s="167" t="s">
        <v>1113</v>
      </c>
      <c r="J14" s="166" t="s">
        <v>1720</v>
      </c>
      <c r="K14" s="168"/>
      <c r="L14" s="166"/>
      <c r="M14" s="167"/>
      <c r="N14" s="169"/>
      <c r="O14" s="167"/>
      <c r="P14" s="167"/>
    </row>
    <row r="15" spans="1:19" s="118" customFormat="1" ht="14">
      <c r="A15" s="126" t="s">
        <v>1155</v>
      </c>
      <c r="B15" s="113"/>
      <c r="C15" s="113"/>
      <c r="D15" s="114"/>
      <c r="E15" s="113"/>
      <c r="F15" s="115"/>
      <c r="G15" s="113"/>
      <c r="H15" s="113"/>
      <c r="I15" s="113"/>
      <c r="J15" s="113"/>
      <c r="K15" s="113"/>
      <c r="L15" s="116"/>
      <c r="M15" s="115"/>
      <c r="N15" s="115"/>
      <c r="O15" s="117"/>
      <c r="P15" s="115"/>
    </row>
  </sheetData>
  <autoFilter ref="A2:P2" xr:uid="{59479671-FEB7-BB48-97EC-BDC2EC4B07A7}"/>
  <sortState xmlns:xlrd2="http://schemas.microsoft.com/office/spreadsheetml/2017/richdata2" ref="A3:J15">
    <sortCondition ref="E3:E15"/>
  </sortState>
  <mergeCells count="1">
    <mergeCell ref="D1:J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E334"/>
  <sheetViews>
    <sheetView topLeftCell="A228" zoomScale="144" zoomScaleNormal="150" workbookViewId="0">
      <selection activeCell="F229" sqref="F229"/>
    </sheetView>
  </sheetViews>
  <sheetFormatPr baseColWidth="10" defaultRowHeight="16"/>
  <cols>
    <col min="2" max="2" width="12.1640625" customWidth="1"/>
    <col min="3" max="3" width="17.5" customWidth="1"/>
    <col min="4" max="4" width="23.83203125" customWidth="1"/>
    <col min="5" max="5" width="15.1640625" customWidth="1"/>
    <col min="6" max="6" width="64.33203125" customWidth="1"/>
    <col min="7" max="7" width="35.83203125" customWidth="1"/>
    <col min="8" max="8" width="31" customWidth="1"/>
    <col min="9" max="9" width="25.5" customWidth="1"/>
  </cols>
  <sheetData>
    <row r="1" spans="1:18" ht="33.75" customHeight="1">
      <c r="A1" s="127"/>
      <c r="B1" s="127"/>
      <c r="C1" s="128" t="s">
        <v>268</v>
      </c>
      <c r="D1" s="5"/>
      <c r="E1" s="129"/>
      <c r="F1" s="130"/>
      <c r="G1" s="127"/>
      <c r="H1" s="127"/>
      <c r="I1" s="127"/>
      <c r="J1" s="127"/>
      <c r="K1" s="127"/>
      <c r="L1" s="127"/>
      <c r="M1" s="127"/>
      <c r="N1" s="127"/>
      <c r="O1" s="127"/>
      <c r="P1" s="127"/>
      <c r="Q1" s="127"/>
      <c r="R1" s="127"/>
    </row>
    <row r="2" spans="1:18" ht="60.25" customHeight="1">
      <c r="A2" s="131" t="s">
        <v>269</v>
      </c>
      <c r="B2" s="131" t="s">
        <v>270</v>
      </c>
      <c r="C2" s="131" t="s">
        <v>271</v>
      </c>
      <c r="D2" s="131" t="s">
        <v>272</v>
      </c>
      <c r="E2" s="129" t="s">
        <v>273</v>
      </c>
      <c r="F2" s="132" t="s">
        <v>274</v>
      </c>
      <c r="G2" s="131" t="s">
        <v>275</v>
      </c>
      <c r="H2" s="131" t="s">
        <v>276</v>
      </c>
      <c r="I2" s="131" t="s">
        <v>277</v>
      </c>
      <c r="J2" s="133" t="s">
        <v>278</v>
      </c>
      <c r="K2" s="133" t="s">
        <v>237</v>
      </c>
      <c r="L2" s="133" t="s">
        <v>279</v>
      </c>
      <c r="M2" s="133" t="s">
        <v>280</v>
      </c>
      <c r="N2" s="133" t="s">
        <v>281</v>
      </c>
      <c r="O2" s="133" t="s">
        <v>282</v>
      </c>
      <c r="P2" s="133"/>
      <c r="Q2" s="133"/>
      <c r="R2" s="133"/>
    </row>
    <row r="3" spans="1:18" ht="186.75" customHeight="1">
      <c r="A3" s="129">
        <v>1</v>
      </c>
      <c r="B3" s="129"/>
      <c r="C3" s="129"/>
      <c r="D3" s="129" t="s">
        <v>252</v>
      </c>
      <c r="E3" s="129" t="s">
        <v>265</v>
      </c>
      <c r="F3" s="129" t="s">
        <v>1622</v>
      </c>
      <c r="G3" s="172" t="s">
        <v>1623</v>
      </c>
      <c r="H3" s="146"/>
      <c r="I3" s="129" t="s">
        <v>283</v>
      </c>
      <c r="J3" s="129"/>
      <c r="K3" s="129"/>
      <c r="L3" s="129"/>
      <c r="M3" s="129"/>
      <c r="N3" s="129"/>
      <c r="O3" s="129"/>
      <c r="P3" s="129"/>
      <c r="Q3" s="129"/>
      <c r="R3" s="129"/>
    </row>
    <row r="4" spans="1:18" ht="186.75" customHeight="1">
      <c r="A4" s="129">
        <v>2</v>
      </c>
      <c r="B4" s="129"/>
      <c r="C4" s="129" t="s">
        <v>284</v>
      </c>
      <c r="D4" s="129" t="s">
        <v>285</v>
      </c>
      <c r="E4" s="135" t="s">
        <v>265</v>
      </c>
      <c r="F4" s="129" t="s">
        <v>1624</v>
      </c>
      <c r="G4" s="129"/>
      <c r="H4" s="129"/>
      <c r="I4" s="129" t="s">
        <v>286</v>
      </c>
      <c r="J4" s="129"/>
      <c r="K4" s="129"/>
      <c r="L4" s="129"/>
      <c r="M4" s="129"/>
      <c r="N4" s="129"/>
      <c r="O4" s="129"/>
      <c r="P4" s="129"/>
      <c r="Q4" s="129"/>
      <c r="R4" s="129"/>
    </row>
    <row r="5" spans="1:18" ht="266.75" customHeight="1">
      <c r="A5" s="129">
        <v>3</v>
      </c>
      <c r="B5" s="134"/>
      <c r="C5" s="129" t="s">
        <v>1077</v>
      </c>
      <c r="D5" s="7" t="s">
        <v>1078</v>
      </c>
      <c r="E5" s="10" t="s">
        <v>266</v>
      </c>
      <c r="F5" s="129" t="s">
        <v>1625</v>
      </c>
      <c r="G5" s="129"/>
      <c r="H5" s="129"/>
      <c r="I5" s="148" t="s">
        <v>1626</v>
      </c>
      <c r="J5" s="129"/>
      <c r="K5" s="140" t="s">
        <v>1079</v>
      </c>
      <c r="L5" s="129"/>
      <c r="M5" s="129"/>
      <c r="N5" s="129"/>
      <c r="O5" s="129"/>
      <c r="P5" s="129"/>
      <c r="Q5" s="129"/>
      <c r="R5" s="129"/>
    </row>
    <row r="6" spans="1:18" ht="133.25" customHeight="1">
      <c r="A6" s="129">
        <v>4</v>
      </c>
      <c r="B6" s="129"/>
      <c r="C6" s="129" t="s">
        <v>669</v>
      </c>
      <c r="D6" s="129" t="s">
        <v>670</v>
      </c>
      <c r="E6" s="135" t="s">
        <v>264</v>
      </c>
      <c r="F6" s="129" t="s">
        <v>1627</v>
      </c>
      <c r="G6" s="129" t="s">
        <v>671</v>
      </c>
      <c r="H6" s="129"/>
      <c r="I6" s="129" t="s">
        <v>672</v>
      </c>
      <c r="J6" s="129"/>
      <c r="K6" s="129"/>
      <c r="L6" s="129"/>
      <c r="M6" s="129"/>
      <c r="N6" s="129"/>
      <c r="O6" s="129"/>
      <c r="P6" s="129"/>
      <c r="Q6" s="129"/>
      <c r="R6" s="129"/>
    </row>
    <row r="7" spans="1:18" ht="133.25" customHeight="1">
      <c r="A7" s="129">
        <v>5</v>
      </c>
      <c r="B7" s="129"/>
      <c r="C7" s="129" t="s">
        <v>733</v>
      </c>
      <c r="D7" s="129" t="s">
        <v>734</v>
      </c>
      <c r="E7" s="129" t="s">
        <v>266</v>
      </c>
      <c r="F7" s="129" t="s">
        <v>1628</v>
      </c>
      <c r="G7" s="129" t="s">
        <v>735</v>
      </c>
      <c r="H7" s="129"/>
      <c r="I7" s="129" t="s">
        <v>736</v>
      </c>
      <c r="J7" s="129"/>
      <c r="K7" s="129"/>
      <c r="L7" s="129"/>
      <c r="M7" s="129"/>
      <c r="N7" s="129"/>
      <c r="O7" s="129"/>
      <c r="P7" s="129"/>
      <c r="Q7" s="129"/>
      <c r="R7" s="129"/>
    </row>
    <row r="8" spans="1:18" ht="160" customHeight="1">
      <c r="A8" s="129">
        <v>6</v>
      </c>
      <c r="B8" s="129"/>
      <c r="C8" s="129"/>
      <c r="D8" s="129" t="s">
        <v>1400</v>
      </c>
      <c r="E8" s="129" t="s">
        <v>1539</v>
      </c>
      <c r="F8" s="129" t="s">
        <v>1629</v>
      </c>
      <c r="G8" s="129" t="s">
        <v>1401</v>
      </c>
      <c r="H8" s="129"/>
      <c r="I8" s="129" t="s">
        <v>1402</v>
      </c>
      <c r="J8" s="129"/>
      <c r="K8" s="129" t="s">
        <v>1403</v>
      </c>
      <c r="L8" s="129"/>
      <c r="M8" s="129"/>
      <c r="N8" s="129"/>
      <c r="O8" s="129"/>
      <c r="P8" s="129"/>
      <c r="Q8" s="129"/>
      <c r="R8" s="129"/>
    </row>
    <row r="9" spans="1:18" ht="106.75" customHeight="1">
      <c r="A9" s="129">
        <v>7</v>
      </c>
      <c r="B9" s="129"/>
      <c r="C9" s="129"/>
      <c r="D9" s="129" t="s">
        <v>961</v>
      </c>
      <c r="E9" s="135" t="s">
        <v>264</v>
      </c>
      <c r="F9" s="129" t="s">
        <v>1630</v>
      </c>
      <c r="G9" s="129" t="s">
        <v>962</v>
      </c>
      <c r="H9" s="129"/>
      <c r="I9" s="129" t="s">
        <v>963</v>
      </c>
      <c r="J9" s="129"/>
      <c r="K9" s="129"/>
      <c r="L9" s="129"/>
      <c r="M9" s="129"/>
      <c r="N9" s="129"/>
      <c r="O9" s="129"/>
      <c r="P9" s="129"/>
      <c r="Q9" s="129"/>
      <c r="R9" s="129"/>
    </row>
    <row r="10" spans="1:18" ht="186.75" customHeight="1">
      <c r="A10" s="129">
        <v>8</v>
      </c>
      <c r="B10" s="129"/>
      <c r="C10" s="129" t="s">
        <v>1295</v>
      </c>
      <c r="D10" s="129" t="s">
        <v>947</v>
      </c>
      <c r="E10" s="129" t="s">
        <v>264</v>
      </c>
      <c r="F10" s="129" t="s">
        <v>1631</v>
      </c>
      <c r="G10" s="129"/>
      <c r="H10" s="129"/>
      <c r="I10" s="129" t="s">
        <v>948</v>
      </c>
      <c r="J10" s="129"/>
      <c r="K10" s="141"/>
      <c r="L10" s="129"/>
      <c r="M10" s="129"/>
      <c r="N10" s="129"/>
      <c r="O10" s="129"/>
      <c r="P10" s="129"/>
      <c r="Q10" s="129"/>
      <c r="R10" s="129"/>
    </row>
    <row r="11" spans="1:18" ht="133.25" customHeight="1">
      <c r="A11" s="129">
        <v>9</v>
      </c>
      <c r="B11" s="134" t="s">
        <v>287</v>
      </c>
      <c r="C11" s="129" t="s">
        <v>242</v>
      </c>
      <c r="D11" s="129" t="s">
        <v>1333</v>
      </c>
      <c r="E11" s="135" t="s">
        <v>1539</v>
      </c>
      <c r="F11" s="129" t="s">
        <v>1632</v>
      </c>
      <c r="G11" s="129" t="s">
        <v>263</v>
      </c>
      <c r="H11" s="129" t="s">
        <v>288</v>
      </c>
      <c r="I11" s="129" t="s">
        <v>1744</v>
      </c>
      <c r="J11" s="129" t="s">
        <v>289</v>
      </c>
      <c r="K11" s="129" t="s">
        <v>1334</v>
      </c>
      <c r="L11" s="129"/>
      <c r="M11" s="23" t="s">
        <v>290</v>
      </c>
      <c r="N11" s="8"/>
      <c r="O11" s="129"/>
      <c r="P11" s="129"/>
      <c r="Q11" s="129"/>
      <c r="R11" s="129"/>
    </row>
    <row r="12" spans="1:18" ht="133.25" customHeight="1">
      <c r="A12" s="129">
        <v>10</v>
      </c>
      <c r="B12" s="129"/>
      <c r="C12" s="129"/>
      <c r="D12" s="129" t="s">
        <v>809</v>
      </c>
      <c r="E12" s="129" t="s">
        <v>265</v>
      </c>
      <c r="F12" s="129" t="s">
        <v>1633</v>
      </c>
      <c r="G12" s="129" t="s">
        <v>1634</v>
      </c>
      <c r="H12" s="129"/>
      <c r="I12" s="129" t="s">
        <v>810</v>
      </c>
      <c r="J12" s="129"/>
      <c r="K12" s="129"/>
      <c r="L12" s="129"/>
      <c r="M12" s="8"/>
      <c r="N12" s="8"/>
      <c r="O12" s="129"/>
      <c r="P12" s="129"/>
      <c r="Q12" s="129"/>
      <c r="R12" s="129"/>
    </row>
    <row r="13" spans="1:18" ht="133.25" customHeight="1">
      <c r="A13" s="129">
        <v>11</v>
      </c>
      <c r="B13" s="129"/>
      <c r="C13" s="129"/>
      <c r="D13" s="129" t="s">
        <v>1159</v>
      </c>
      <c r="E13" s="129" t="s">
        <v>265</v>
      </c>
      <c r="F13" s="129" t="s">
        <v>1635</v>
      </c>
      <c r="G13" s="129"/>
      <c r="H13" s="129"/>
      <c r="I13" s="129" t="s">
        <v>291</v>
      </c>
      <c r="J13" s="129"/>
      <c r="K13" s="129"/>
      <c r="L13" s="129"/>
      <c r="M13" s="8"/>
      <c r="N13" s="8"/>
      <c r="O13" s="129"/>
      <c r="P13" s="129"/>
      <c r="Q13" s="129"/>
      <c r="R13" s="129"/>
    </row>
    <row r="14" spans="1:18" ht="133.25" customHeight="1">
      <c r="A14" s="129">
        <v>12</v>
      </c>
      <c r="B14" s="137"/>
      <c r="C14" s="129"/>
      <c r="D14" s="129" t="s">
        <v>1491</v>
      </c>
      <c r="E14" s="129" t="s">
        <v>1539</v>
      </c>
      <c r="F14" s="129" t="s">
        <v>1636</v>
      </c>
      <c r="G14" s="129"/>
      <c r="H14" s="129"/>
      <c r="I14" s="129" t="s">
        <v>982</v>
      </c>
      <c r="J14" s="129"/>
      <c r="K14" s="129"/>
      <c r="L14" s="129"/>
      <c r="M14" s="129"/>
      <c r="N14" s="129"/>
      <c r="O14" s="129"/>
      <c r="P14" s="129"/>
      <c r="Q14" s="129"/>
      <c r="R14" s="129"/>
    </row>
    <row r="15" spans="1:18" ht="133.25" customHeight="1">
      <c r="A15" s="129">
        <v>13</v>
      </c>
      <c r="B15" s="137">
        <v>46048</v>
      </c>
      <c r="C15" s="129" t="s">
        <v>993</v>
      </c>
      <c r="D15" s="129" t="s">
        <v>1128</v>
      </c>
      <c r="E15" s="129" t="s">
        <v>1539</v>
      </c>
      <c r="F15" s="129" t="s">
        <v>1637</v>
      </c>
      <c r="G15" s="129"/>
      <c r="H15" s="129"/>
      <c r="I15" s="129" t="s">
        <v>994</v>
      </c>
      <c r="J15" s="129"/>
      <c r="K15" s="129" t="s">
        <v>995</v>
      </c>
      <c r="L15" s="129"/>
      <c r="M15" s="129"/>
      <c r="N15" s="129"/>
      <c r="O15" s="129"/>
      <c r="P15" s="129"/>
      <c r="Q15" s="129"/>
      <c r="R15" s="129"/>
    </row>
    <row r="16" spans="1:18" ht="106.75" customHeight="1">
      <c r="A16" s="129">
        <v>14</v>
      </c>
      <c r="B16" s="129"/>
      <c r="C16" s="129" t="s">
        <v>576</v>
      </c>
      <c r="D16" s="129" t="s">
        <v>577</v>
      </c>
      <c r="E16" s="129" t="s">
        <v>266</v>
      </c>
      <c r="F16" s="129" t="s">
        <v>1429</v>
      </c>
      <c r="G16" s="129" t="s">
        <v>1638</v>
      </c>
      <c r="H16" s="129"/>
      <c r="I16" s="129" t="s">
        <v>1745</v>
      </c>
      <c r="J16" s="129"/>
      <c r="K16" s="129"/>
      <c r="L16" s="129"/>
      <c r="M16" s="129"/>
      <c r="N16" s="129"/>
      <c r="O16" s="129"/>
      <c r="P16" s="129"/>
      <c r="Q16" s="129"/>
      <c r="R16" s="129"/>
    </row>
    <row r="17" spans="1:18" ht="106.75" customHeight="1">
      <c r="A17" s="129">
        <v>15</v>
      </c>
      <c r="B17" s="129"/>
      <c r="C17" s="129"/>
      <c r="D17" s="129" t="s">
        <v>865</v>
      </c>
      <c r="E17" s="129" t="s">
        <v>264</v>
      </c>
      <c r="F17" s="129" t="s">
        <v>1639</v>
      </c>
      <c r="G17" s="129"/>
      <c r="H17" s="129"/>
      <c r="I17" s="129" t="s">
        <v>866</v>
      </c>
      <c r="J17" s="129"/>
      <c r="K17" s="129"/>
      <c r="L17" s="129"/>
      <c r="M17" s="129"/>
      <c r="N17" s="129"/>
      <c r="O17" s="129"/>
      <c r="P17" s="129"/>
      <c r="Q17" s="129"/>
      <c r="R17" s="129"/>
    </row>
    <row r="18" spans="1:18" ht="186.75" customHeight="1">
      <c r="A18" s="129">
        <v>16</v>
      </c>
      <c r="B18" s="129"/>
      <c r="C18" s="129" t="s">
        <v>942</v>
      </c>
      <c r="D18" s="129" t="s">
        <v>1294</v>
      </c>
      <c r="E18" s="135" t="s">
        <v>265</v>
      </c>
      <c r="F18" s="129" t="s">
        <v>1727</v>
      </c>
      <c r="G18" s="129"/>
      <c r="H18" s="129"/>
      <c r="I18" s="129" t="s">
        <v>943</v>
      </c>
      <c r="J18" s="129"/>
      <c r="K18" s="129"/>
      <c r="L18" s="129"/>
      <c r="M18" s="129"/>
      <c r="N18" s="129"/>
      <c r="O18" s="129"/>
      <c r="P18" s="129"/>
      <c r="Q18" s="129"/>
      <c r="R18" s="129"/>
    </row>
    <row r="19" spans="1:18" ht="106.75" customHeight="1">
      <c r="A19" s="129">
        <v>17</v>
      </c>
      <c r="B19" s="129"/>
      <c r="C19" s="129"/>
      <c r="D19" s="129" t="s">
        <v>1398</v>
      </c>
      <c r="E19" s="129" t="s">
        <v>1539</v>
      </c>
      <c r="F19" s="129" t="s">
        <v>1640</v>
      </c>
      <c r="G19" s="129"/>
      <c r="H19" s="129"/>
      <c r="I19" s="129" t="s">
        <v>1399</v>
      </c>
      <c r="J19" s="129"/>
      <c r="K19" s="129" t="s">
        <v>1555</v>
      </c>
      <c r="L19" s="129"/>
      <c r="M19" s="129"/>
      <c r="N19" s="129"/>
      <c r="O19" s="129"/>
      <c r="P19" s="129"/>
      <c r="Q19" s="129"/>
      <c r="R19" s="129"/>
    </row>
    <row r="20" spans="1:18" ht="133.25" customHeight="1">
      <c r="A20" s="129">
        <v>18</v>
      </c>
      <c r="B20" s="129"/>
      <c r="C20" s="129" t="s">
        <v>243</v>
      </c>
      <c r="D20" s="20" t="s">
        <v>292</v>
      </c>
      <c r="E20" s="129" t="s">
        <v>264</v>
      </c>
      <c r="F20" s="157" t="s">
        <v>1641</v>
      </c>
      <c r="G20" s="129"/>
      <c r="H20" s="129"/>
      <c r="I20" s="140" t="s">
        <v>1528</v>
      </c>
      <c r="J20" s="129"/>
      <c r="K20" s="141"/>
      <c r="L20" s="129"/>
      <c r="M20" s="129"/>
      <c r="N20" s="129"/>
      <c r="O20" s="129"/>
      <c r="P20" s="129"/>
      <c r="Q20" s="129"/>
      <c r="R20" s="129"/>
    </row>
    <row r="21" spans="1:18" ht="106.75" customHeight="1">
      <c r="A21" s="129">
        <v>19</v>
      </c>
      <c r="B21" s="129"/>
      <c r="C21" s="129" t="s">
        <v>245</v>
      </c>
      <c r="D21" s="135" t="s">
        <v>293</v>
      </c>
      <c r="E21" s="129" t="s">
        <v>264</v>
      </c>
      <c r="F21" s="129" t="s">
        <v>1642</v>
      </c>
      <c r="G21" s="129"/>
      <c r="H21" s="129"/>
      <c r="I21" s="129" t="s">
        <v>294</v>
      </c>
      <c r="J21" s="129"/>
      <c r="K21" s="129"/>
      <c r="L21" s="129"/>
      <c r="M21" s="129"/>
      <c r="N21" s="129"/>
      <c r="O21" s="129"/>
      <c r="P21" s="129"/>
      <c r="Q21" s="129"/>
      <c r="R21" s="129"/>
    </row>
    <row r="22" spans="1:18" ht="160" customHeight="1">
      <c r="A22" s="129">
        <v>20</v>
      </c>
      <c r="B22" s="137"/>
      <c r="C22" s="129"/>
      <c r="D22" s="7" t="s">
        <v>247</v>
      </c>
      <c r="E22" s="129" t="s">
        <v>1539</v>
      </c>
      <c r="F22" s="12" t="s">
        <v>1643</v>
      </c>
      <c r="G22" s="151" t="s">
        <v>295</v>
      </c>
      <c r="H22" s="129"/>
      <c r="I22" s="151" t="s">
        <v>296</v>
      </c>
      <c r="J22" s="129"/>
      <c r="K22" s="154"/>
      <c r="L22" s="129"/>
      <c r="M22" s="129"/>
      <c r="N22" s="129"/>
      <c r="O22" s="129"/>
      <c r="P22" s="129"/>
      <c r="Q22" s="129"/>
      <c r="R22" s="129"/>
    </row>
    <row r="23" spans="1:18" ht="186.75" customHeight="1">
      <c r="A23" s="129">
        <v>21</v>
      </c>
      <c r="B23" s="129"/>
      <c r="C23" s="129" t="s">
        <v>249</v>
      </c>
      <c r="D23" s="129" t="s">
        <v>297</v>
      </c>
      <c r="E23" s="135" t="s">
        <v>265</v>
      </c>
      <c r="F23" s="129" t="s">
        <v>1644</v>
      </c>
      <c r="G23" s="129" t="s">
        <v>1645</v>
      </c>
      <c r="H23" s="129"/>
      <c r="I23" s="129" t="s">
        <v>298</v>
      </c>
      <c r="J23" s="129"/>
      <c r="K23" s="129"/>
      <c r="L23" s="129"/>
      <c r="M23" s="129"/>
      <c r="N23" s="129"/>
      <c r="O23" s="129"/>
      <c r="P23" s="129"/>
      <c r="Q23" s="129"/>
      <c r="R23" s="129"/>
    </row>
    <row r="24" spans="1:18" ht="266.75" customHeight="1">
      <c r="A24" s="129">
        <v>22</v>
      </c>
      <c r="B24" s="129"/>
      <c r="C24" s="129" t="s">
        <v>964</v>
      </c>
      <c r="D24" s="129" t="s">
        <v>1300</v>
      </c>
      <c r="E24" s="129" t="s">
        <v>264</v>
      </c>
      <c r="F24" s="13" t="s">
        <v>1646</v>
      </c>
      <c r="G24" s="129"/>
      <c r="H24" s="129"/>
      <c r="I24" s="148" t="s">
        <v>965</v>
      </c>
      <c r="J24" s="129"/>
      <c r="K24" s="14"/>
      <c r="L24" s="129"/>
      <c r="M24" s="129"/>
      <c r="N24" s="129"/>
      <c r="O24" s="129"/>
      <c r="P24" s="129"/>
      <c r="Q24" s="129"/>
      <c r="R24" s="129"/>
    </row>
    <row r="25" spans="1:18" ht="133.25" customHeight="1">
      <c r="A25" s="129">
        <v>23</v>
      </c>
      <c r="B25" s="135"/>
      <c r="C25" s="135"/>
      <c r="D25" s="135" t="s">
        <v>299</v>
      </c>
      <c r="E25" s="129" t="s">
        <v>265</v>
      </c>
      <c r="F25" s="129" t="s">
        <v>1647</v>
      </c>
      <c r="G25" s="129" t="s">
        <v>1648</v>
      </c>
      <c r="H25" s="129"/>
      <c r="I25" s="129" t="s">
        <v>1529</v>
      </c>
      <c r="J25" s="129"/>
      <c r="K25" s="129" t="s">
        <v>1490</v>
      </c>
      <c r="L25" s="129"/>
      <c r="M25" s="129"/>
      <c r="N25" s="129"/>
      <c r="O25" s="129"/>
      <c r="P25" s="129"/>
      <c r="Q25" s="129"/>
      <c r="R25" s="129"/>
    </row>
    <row r="26" spans="1:18" ht="213.25" customHeight="1">
      <c r="A26" s="129">
        <v>24</v>
      </c>
      <c r="B26" s="137"/>
      <c r="C26" s="129"/>
      <c r="D26" s="135" t="s">
        <v>983</v>
      </c>
      <c r="E26" s="129" t="s">
        <v>1539</v>
      </c>
      <c r="F26" s="129" t="s">
        <v>1649</v>
      </c>
      <c r="G26" s="129"/>
      <c r="H26" s="129"/>
      <c r="I26" s="129" t="s">
        <v>984</v>
      </c>
      <c r="J26" s="129" t="s">
        <v>1307</v>
      </c>
      <c r="K26" s="129"/>
      <c r="L26" s="129"/>
      <c r="M26" s="129"/>
      <c r="N26" s="129"/>
      <c r="O26" s="129"/>
      <c r="P26" s="129"/>
      <c r="Q26" s="129"/>
      <c r="R26" s="129"/>
    </row>
    <row r="27" spans="1:18" ht="160" customHeight="1">
      <c r="A27" s="129">
        <v>25</v>
      </c>
      <c r="B27" s="129"/>
      <c r="C27" s="129"/>
      <c r="D27" s="135" t="s">
        <v>1160</v>
      </c>
      <c r="E27" s="129" t="s">
        <v>1539</v>
      </c>
      <c r="F27" s="129" t="s">
        <v>1650</v>
      </c>
      <c r="G27" s="129" t="s">
        <v>1651</v>
      </c>
      <c r="H27" s="129"/>
      <c r="I27" s="129" t="s">
        <v>300</v>
      </c>
      <c r="J27" s="129"/>
      <c r="K27" s="129"/>
      <c r="L27" s="129"/>
      <c r="M27" s="129"/>
      <c r="N27" s="129"/>
      <c r="O27" s="129"/>
      <c r="P27" s="129"/>
      <c r="Q27" s="129"/>
      <c r="R27" s="129"/>
    </row>
    <row r="28" spans="1:18" ht="106.75" customHeight="1">
      <c r="A28" s="129">
        <v>26</v>
      </c>
      <c r="B28" s="137"/>
      <c r="C28" s="129"/>
      <c r="D28" s="129" t="s">
        <v>250</v>
      </c>
      <c r="E28" s="129" t="s">
        <v>265</v>
      </c>
      <c r="F28" s="129" t="s">
        <v>1652</v>
      </c>
      <c r="G28" s="129"/>
      <c r="H28" s="129"/>
      <c r="I28" s="129" t="s">
        <v>301</v>
      </c>
      <c r="J28" s="129"/>
      <c r="K28" s="129"/>
      <c r="L28" s="129"/>
      <c r="M28" s="129"/>
      <c r="N28" s="129"/>
      <c r="O28" s="129"/>
      <c r="P28" s="129"/>
      <c r="Q28" s="129"/>
      <c r="R28" s="129"/>
    </row>
    <row r="29" spans="1:18" ht="213.25" customHeight="1">
      <c r="A29" s="129">
        <v>27</v>
      </c>
      <c r="B29" s="129"/>
      <c r="C29" s="129" t="s">
        <v>1221</v>
      </c>
      <c r="D29" s="129" t="s">
        <v>578</v>
      </c>
      <c r="E29" s="129" t="s">
        <v>579</v>
      </c>
      <c r="F29" s="139" t="s">
        <v>1653</v>
      </c>
      <c r="G29" s="129"/>
      <c r="H29" s="129"/>
      <c r="I29" s="129" t="s">
        <v>580</v>
      </c>
      <c r="J29" s="129"/>
      <c r="K29" s="129"/>
      <c r="L29" s="129"/>
      <c r="M29" s="129"/>
      <c r="N29" s="129"/>
      <c r="O29" s="129"/>
      <c r="P29" s="129"/>
      <c r="Q29" s="129"/>
      <c r="R29" s="129"/>
    </row>
    <row r="30" spans="1:18" ht="213.25" customHeight="1">
      <c r="A30" s="129">
        <v>28</v>
      </c>
      <c r="B30" s="137">
        <v>46050</v>
      </c>
      <c r="C30" s="129" t="s">
        <v>253</v>
      </c>
      <c r="D30" s="129" t="s">
        <v>302</v>
      </c>
      <c r="E30" s="129" t="s">
        <v>1539</v>
      </c>
      <c r="F30" s="129" t="s">
        <v>1654</v>
      </c>
      <c r="G30" s="129" t="s">
        <v>1655</v>
      </c>
      <c r="H30" s="129"/>
      <c r="I30" s="129" t="s">
        <v>1746</v>
      </c>
      <c r="J30" s="129"/>
      <c r="K30" s="129" t="s">
        <v>1335</v>
      </c>
      <c r="L30" s="129"/>
      <c r="M30" s="129"/>
      <c r="N30" s="129"/>
      <c r="O30" s="129"/>
      <c r="P30" s="129"/>
      <c r="Q30" s="129"/>
      <c r="R30" s="129"/>
    </row>
    <row r="31" spans="1:18" ht="106.75" customHeight="1">
      <c r="A31" s="129">
        <v>29</v>
      </c>
      <c r="B31" s="144"/>
      <c r="C31" s="129"/>
      <c r="D31" s="135" t="s">
        <v>303</v>
      </c>
      <c r="E31" s="129" t="s">
        <v>265</v>
      </c>
      <c r="F31" s="129" t="s">
        <v>1656</v>
      </c>
      <c r="G31" s="129"/>
      <c r="H31" s="129"/>
      <c r="I31" s="129" t="s">
        <v>1515</v>
      </c>
      <c r="J31" s="129"/>
      <c r="K31" s="129"/>
      <c r="L31" s="129"/>
      <c r="M31" s="129"/>
      <c r="N31" s="129"/>
      <c r="O31" s="129"/>
      <c r="P31" s="129"/>
      <c r="Q31" s="129"/>
      <c r="R31" s="129"/>
    </row>
    <row r="32" spans="1:18" ht="133.25" customHeight="1">
      <c r="A32" s="129">
        <v>30</v>
      </c>
      <c r="B32" s="129"/>
      <c r="C32" s="129" t="s">
        <v>254</v>
      </c>
      <c r="D32" s="129" t="s">
        <v>304</v>
      </c>
      <c r="E32" s="129" t="s">
        <v>1539</v>
      </c>
      <c r="F32" s="129" t="s">
        <v>1657</v>
      </c>
      <c r="G32" s="129" t="s">
        <v>1747</v>
      </c>
      <c r="H32" s="129"/>
      <c r="I32" s="129" t="s">
        <v>1748</v>
      </c>
      <c r="J32" s="129"/>
      <c r="K32" s="129" t="s">
        <v>1336</v>
      </c>
      <c r="L32" s="129"/>
      <c r="M32" s="129"/>
      <c r="N32" s="129"/>
      <c r="O32" s="129"/>
      <c r="P32" s="129"/>
      <c r="Q32" s="129"/>
      <c r="R32" s="129"/>
    </row>
    <row r="33" spans="1:18" ht="133.25" customHeight="1">
      <c r="A33" s="129">
        <v>31</v>
      </c>
      <c r="B33" s="129"/>
      <c r="C33" s="129" t="s">
        <v>256</v>
      </c>
      <c r="D33" s="135" t="s">
        <v>1161</v>
      </c>
      <c r="E33" s="129" t="s">
        <v>266</v>
      </c>
      <c r="F33" s="129" t="s">
        <v>1686</v>
      </c>
      <c r="G33" s="129" t="s">
        <v>305</v>
      </c>
      <c r="H33" s="129"/>
      <c r="I33" s="129" t="s">
        <v>306</v>
      </c>
      <c r="J33" s="129"/>
      <c r="K33" s="129"/>
      <c r="L33" s="129"/>
      <c r="M33" s="129"/>
      <c r="N33" s="129"/>
      <c r="O33" s="129"/>
      <c r="P33" s="129"/>
      <c r="Q33" s="129"/>
      <c r="R33" s="129"/>
    </row>
    <row r="34" spans="1:18" ht="160" customHeight="1">
      <c r="A34" s="129">
        <v>32</v>
      </c>
      <c r="B34" s="129"/>
      <c r="C34" s="129" t="s">
        <v>895</v>
      </c>
      <c r="D34" s="140" t="s">
        <v>896</v>
      </c>
      <c r="E34" s="10" t="s">
        <v>266</v>
      </c>
      <c r="F34" s="157" t="s">
        <v>1687</v>
      </c>
      <c r="G34" s="129"/>
      <c r="H34" s="129"/>
      <c r="I34" s="148" t="s">
        <v>897</v>
      </c>
      <c r="J34" s="129"/>
      <c r="K34" s="141"/>
      <c r="L34" s="129"/>
      <c r="M34" s="129"/>
      <c r="N34" s="129"/>
      <c r="O34" s="129"/>
      <c r="P34" s="129"/>
      <c r="Q34" s="129"/>
      <c r="R34" s="129"/>
    </row>
    <row r="35" spans="1:18" ht="133.25" customHeight="1">
      <c r="A35" s="129">
        <v>33</v>
      </c>
      <c r="B35" s="134"/>
      <c r="C35" s="129" t="s">
        <v>581</v>
      </c>
      <c r="D35" s="11" t="s">
        <v>582</v>
      </c>
      <c r="E35" s="129" t="s">
        <v>266</v>
      </c>
      <c r="F35" s="12" t="s">
        <v>1688</v>
      </c>
      <c r="G35" s="129" t="s">
        <v>1689</v>
      </c>
      <c r="H35" s="129"/>
      <c r="I35" s="16" t="s">
        <v>1749</v>
      </c>
      <c r="J35" s="129"/>
      <c r="K35" s="129"/>
      <c r="L35" s="129"/>
      <c r="M35" s="23" t="s">
        <v>583</v>
      </c>
      <c r="N35" s="8"/>
      <c r="O35" s="129"/>
      <c r="P35" s="129"/>
      <c r="Q35" s="129"/>
      <c r="R35" s="129"/>
    </row>
    <row r="36" spans="1:18" ht="133.25" customHeight="1">
      <c r="A36" s="129">
        <v>34</v>
      </c>
      <c r="B36" s="137"/>
      <c r="C36" s="129" t="s">
        <v>584</v>
      </c>
      <c r="D36" s="129" t="s">
        <v>585</v>
      </c>
      <c r="E36" s="129" t="s">
        <v>264</v>
      </c>
      <c r="F36" s="129" t="s">
        <v>1690</v>
      </c>
      <c r="G36" s="129" t="s">
        <v>1691</v>
      </c>
      <c r="H36" s="129"/>
      <c r="I36" s="129" t="s">
        <v>1750</v>
      </c>
      <c r="J36" s="154"/>
      <c r="K36" s="154"/>
      <c r="L36" s="129"/>
      <c r="M36" s="129"/>
      <c r="N36" s="129"/>
      <c r="O36" s="129"/>
      <c r="P36" s="129"/>
      <c r="Q36" s="129"/>
      <c r="R36" s="129"/>
    </row>
    <row r="37" spans="1:18" ht="186.75" customHeight="1">
      <c r="A37" s="129">
        <v>35</v>
      </c>
      <c r="B37" s="129"/>
      <c r="C37" s="129" t="s">
        <v>798</v>
      </c>
      <c r="D37" s="129" t="s">
        <v>1460</v>
      </c>
      <c r="E37" s="129" t="s">
        <v>265</v>
      </c>
      <c r="F37" s="129" t="s">
        <v>1251</v>
      </c>
      <c r="G37" s="129"/>
      <c r="H37" s="129"/>
      <c r="I37" s="129" t="s">
        <v>799</v>
      </c>
      <c r="J37" s="129"/>
      <c r="K37" s="129" t="s">
        <v>1556</v>
      </c>
      <c r="L37" s="129"/>
      <c r="M37" s="129"/>
      <c r="N37" s="129"/>
      <c r="O37" s="129"/>
      <c r="P37" s="129"/>
      <c r="Q37" s="129"/>
      <c r="R37" s="129"/>
    </row>
    <row r="38" spans="1:18" ht="133.25" customHeight="1">
      <c r="A38" s="129">
        <v>36</v>
      </c>
      <c r="B38" s="129"/>
      <c r="C38" s="129" t="s">
        <v>307</v>
      </c>
      <c r="D38" s="129" t="s">
        <v>308</v>
      </c>
      <c r="E38" s="129" t="s">
        <v>265</v>
      </c>
      <c r="F38" s="129" t="s">
        <v>1162</v>
      </c>
      <c r="G38" s="129" t="s">
        <v>1692</v>
      </c>
      <c r="H38" s="129"/>
      <c r="I38" s="129" t="s">
        <v>1516</v>
      </c>
      <c r="J38" s="129"/>
      <c r="K38" s="129"/>
      <c r="L38" s="129"/>
      <c r="M38" s="129"/>
      <c r="N38" s="129"/>
      <c r="O38" s="129"/>
      <c r="P38" s="129"/>
      <c r="Q38" s="129"/>
      <c r="R38" s="129"/>
    </row>
    <row r="39" spans="1:18" ht="213.25" customHeight="1">
      <c r="A39" s="129">
        <v>37</v>
      </c>
      <c r="B39" s="129"/>
      <c r="C39" s="129"/>
      <c r="D39" s="129" t="s">
        <v>1163</v>
      </c>
      <c r="E39" s="129" t="s">
        <v>1539</v>
      </c>
      <c r="F39" s="129" t="s">
        <v>309</v>
      </c>
      <c r="G39" s="129"/>
      <c r="H39" s="129"/>
      <c r="I39" s="129" t="s">
        <v>310</v>
      </c>
      <c r="J39" s="129"/>
      <c r="K39" s="129"/>
      <c r="L39" s="129"/>
      <c r="M39" s="129"/>
      <c r="N39" s="129"/>
      <c r="O39" s="129"/>
      <c r="P39" s="129"/>
      <c r="Q39" s="129"/>
      <c r="R39" s="129"/>
    </row>
    <row r="40" spans="1:18" ht="186.75" customHeight="1">
      <c r="A40" s="129">
        <v>38</v>
      </c>
      <c r="B40" s="137"/>
      <c r="C40" s="129" t="s">
        <v>832</v>
      </c>
      <c r="D40" s="7" t="s">
        <v>833</v>
      </c>
      <c r="E40" s="129" t="s">
        <v>265</v>
      </c>
      <c r="F40" s="12" t="s">
        <v>1257</v>
      </c>
      <c r="G40" s="129"/>
      <c r="H40" s="129"/>
      <c r="I40" s="13" t="s">
        <v>834</v>
      </c>
      <c r="J40" s="129"/>
      <c r="K40" s="129"/>
      <c r="L40" s="129"/>
      <c r="M40" s="129"/>
      <c r="N40" s="129"/>
      <c r="O40" s="129"/>
      <c r="P40" s="129"/>
      <c r="Q40" s="129"/>
      <c r="R40" s="129"/>
    </row>
    <row r="41" spans="1:18" ht="133.25" customHeight="1">
      <c r="A41" s="129">
        <v>39</v>
      </c>
      <c r="B41" s="143"/>
      <c r="C41" s="135"/>
      <c r="D41" s="135" t="s">
        <v>977</v>
      </c>
      <c r="E41" s="129" t="s">
        <v>1539</v>
      </c>
      <c r="F41" s="129" t="s">
        <v>1902</v>
      </c>
      <c r="G41" s="129" t="s">
        <v>1693</v>
      </c>
      <c r="H41" s="129"/>
      <c r="I41" s="129" t="s">
        <v>978</v>
      </c>
      <c r="J41" s="129"/>
      <c r="K41" s="154"/>
      <c r="L41" s="129"/>
      <c r="M41" s="129"/>
      <c r="N41" s="129"/>
      <c r="O41" s="129"/>
      <c r="P41" s="129"/>
      <c r="Q41" s="129"/>
      <c r="R41" s="129"/>
    </row>
    <row r="42" spans="1:18" ht="160" customHeight="1">
      <c r="A42" s="129">
        <v>40</v>
      </c>
      <c r="B42" s="129"/>
      <c r="C42" s="129"/>
      <c r="D42" s="129" t="s">
        <v>1164</v>
      </c>
      <c r="E42" s="129" t="s">
        <v>264</v>
      </c>
      <c r="F42" s="129" t="s">
        <v>1165</v>
      </c>
      <c r="G42" s="129"/>
      <c r="H42" s="141"/>
      <c r="I42" s="129" t="s">
        <v>311</v>
      </c>
      <c r="J42" s="129"/>
      <c r="K42" s="129"/>
      <c r="L42" s="129"/>
      <c r="M42" s="129"/>
      <c r="N42" s="129"/>
      <c r="O42" s="129"/>
      <c r="P42" s="129"/>
      <c r="Q42" s="129"/>
      <c r="R42" s="129"/>
    </row>
    <row r="43" spans="1:18" ht="80" customHeight="1">
      <c r="A43" s="129">
        <v>41</v>
      </c>
      <c r="B43" s="129"/>
      <c r="C43" s="129" t="s">
        <v>1396</v>
      </c>
      <c r="D43" s="129" t="s">
        <v>1397</v>
      </c>
      <c r="E43" s="10" t="s">
        <v>266</v>
      </c>
      <c r="F43" s="129" t="s">
        <v>1479</v>
      </c>
      <c r="G43" s="129" t="s">
        <v>1694</v>
      </c>
      <c r="H43" s="129"/>
      <c r="I43" s="129" t="s">
        <v>1903</v>
      </c>
      <c r="J43" s="129"/>
      <c r="K43" s="129"/>
      <c r="L43" s="129"/>
      <c r="M43" s="129"/>
      <c r="N43" s="129"/>
      <c r="O43" s="129"/>
      <c r="P43" s="129"/>
      <c r="Q43" s="129"/>
      <c r="R43" s="129"/>
    </row>
    <row r="44" spans="1:18" ht="160" customHeight="1">
      <c r="A44" s="129">
        <v>42</v>
      </c>
      <c r="B44" s="137"/>
      <c r="C44" s="129"/>
      <c r="D44" s="129" t="s">
        <v>1497</v>
      </c>
      <c r="E44" s="129" t="s">
        <v>265</v>
      </c>
      <c r="F44" s="129" t="s">
        <v>1498</v>
      </c>
      <c r="G44" s="129"/>
      <c r="H44" s="129"/>
      <c r="I44" s="129" t="s">
        <v>1751</v>
      </c>
      <c r="J44" s="129"/>
      <c r="K44" s="129"/>
      <c r="L44" s="129"/>
      <c r="M44" s="129"/>
      <c r="N44" s="129"/>
      <c r="O44" s="129"/>
      <c r="P44" s="129"/>
      <c r="Q44" s="129"/>
      <c r="R44" s="129"/>
    </row>
    <row r="45" spans="1:18" ht="346.75" customHeight="1">
      <c r="A45" s="129">
        <v>43</v>
      </c>
      <c r="B45" s="129"/>
      <c r="C45" s="129" t="s">
        <v>839</v>
      </c>
      <c r="D45" s="129" t="s">
        <v>1259</v>
      </c>
      <c r="E45" s="129" t="s">
        <v>266</v>
      </c>
      <c r="F45" s="129" t="s">
        <v>1260</v>
      </c>
      <c r="G45" s="129" t="s">
        <v>1695</v>
      </c>
      <c r="H45" s="129"/>
      <c r="I45" s="129" t="s">
        <v>1752</v>
      </c>
      <c r="J45" s="129"/>
      <c r="K45" s="129"/>
      <c r="L45" s="129"/>
      <c r="M45" s="129"/>
      <c r="N45" s="129"/>
      <c r="O45" s="129"/>
      <c r="P45" s="129"/>
      <c r="Q45" s="129"/>
      <c r="R45" s="129"/>
    </row>
    <row r="46" spans="1:18" ht="240" customHeight="1">
      <c r="A46" s="129">
        <v>44</v>
      </c>
      <c r="B46" s="129"/>
      <c r="C46" s="129" t="s">
        <v>590</v>
      </c>
      <c r="D46" s="129" t="s">
        <v>591</v>
      </c>
      <c r="E46" s="129" t="s">
        <v>266</v>
      </c>
      <c r="F46" s="129" t="s">
        <v>1430</v>
      </c>
      <c r="G46" s="129" t="s">
        <v>592</v>
      </c>
      <c r="H46" s="129"/>
      <c r="I46" s="129" t="s">
        <v>593</v>
      </c>
      <c r="J46" s="129"/>
      <c r="K46" s="18"/>
      <c r="L46" s="129"/>
      <c r="M46" s="129"/>
      <c r="N46" s="129"/>
      <c r="O46" s="129"/>
      <c r="P46" s="129"/>
      <c r="Q46" s="129"/>
      <c r="R46" s="129"/>
    </row>
    <row r="47" spans="1:18" ht="160" customHeight="1">
      <c r="A47" s="129">
        <v>45</v>
      </c>
      <c r="B47" s="129"/>
      <c r="C47" s="129"/>
      <c r="D47" s="129" t="s">
        <v>1090</v>
      </c>
      <c r="E47" s="129" t="s">
        <v>634</v>
      </c>
      <c r="F47" s="129" t="s">
        <v>1091</v>
      </c>
      <c r="G47" s="129"/>
      <c r="H47" s="129"/>
      <c r="I47" s="129" t="s">
        <v>1092</v>
      </c>
      <c r="J47" s="129"/>
      <c r="K47" s="129" t="s">
        <v>1093</v>
      </c>
      <c r="L47" s="129"/>
      <c r="M47" s="129"/>
      <c r="N47" s="129"/>
      <c r="O47" s="129"/>
      <c r="P47" s="129"/>
      <c r="Q47" s="129"/>
      <c r="R47" s="129"/>
    </row>
    <row r="48" spans="1:18" ht="213.25" customHeight="1">
      <c r="A48" s="129">
        <v>46</v>
      </c>
      <c r="B48" s="129"/>
      <c r="C48" s="129" t="s">
        <v>257</v>
      </c>
      <c r="D48" s="129" t="s">
        <v>312</v>
      </c>
      <c r="E48" s="129" t="s">
        <v>264</v>
      </c>
      <c r="F48" s="129" t="s">
        <v>1166</v>
      </c>
      <c r="G48" s="129" t="s">
        <v>1696</v>
      </c>
      <c r="H48" s="129"/>
      <c r="I48" s="129" t="s">
        <v>1517</v>
      </c>
      <c r="J48" s="129"/>
      <c r="K48" s="129"/>
      <c r="L48" s="129"/>
      <c r="M48" s="129"/>
      <c r="N48" s="129"/>
      <c r="O48" s="129"/>
      <c r="P48" s="129"/>
      <c r="Q48" s="129"/>
      <c r="R48" s="129"/>
    </row>
    <row r="49" spans="1:18" ht="160" customHeight="1">
      <c r="A49" s="129">
        <v>47</v>
      </c>
      <c r="B49" s="137">
        <v>46050</v>
      </c>
      <c r="C49" s="129" t="s">
        <v>649</v>
      </c>
      <c r="D49" s="129" t="s">
        <v>650</v>
      </c>
      <c r="E49" s="129" t="s">
        <v>266</v>
      </c>
      <c r="F49" s="129" t="s">
        <v>1501</v>
      </c>
      <c r="G49" s="129" t="s">
        <v>1753</v>
      </c>
      <c r="H49" s="129"/>
      <c r="I49" s="129" t="s">
        <v>1754</v>
      </c>
      <c r="J49" s="129" t="s">
        <v>1728</v>
      </c>
      <c r="K49" s="129" t="s">
        <v>651</v>
      </c>
      <c r="L49" s="129"/>
      <c r="M49" s="129"/>
      <c r="N49" s="129"/>
      <c r="O49" s="129"/>
      <c r="P49" s="129"/>
      <c r="Q49" s="129"/>
      <c r="R49" s="129"/>
    </row>
    <row r="50" spans="1:18" ht="53.25" customHeight="1">
      <c r="A50" s="129">
        <v>48</v>
      </c>
      <c r="B50" s="129"/>
      <c r="C50" s="129" t="s">
        <v>316</v>
      </c>
      <c r="D50" s="129" t="s">
        <v>1168</v>
      </c>
      <c r="E50" s="129" t="s">
        <v>317</v>
      </c>
      <c r="F50" s="129" t="s">
        <v>1904</v>
      </c>
      <c r="G50" s="129" t="s">
        <v>1697</v>
      </c>
      <c r="H50" s="129"/>
      <c r="I50" s="129" t="s">
        <v>318</v>
      </c>
      <c r="J50" s="129"/>
      <c r="K50" s="129"/>
      <c r="L50" s="129"/>
      <c r="M50" s="129" t="s">
        <v>319</v>
      </c>
      <c r="N50" s="129"/>
      <c r="O50" s="129"/>
      <c r="P50" s="129"/>
      <c r="Q50" s="129"/>
      <c r="R50" s="129"/>
    </row>
    <row r="51" spans="1:18" ht="133.25" customHeight="1">
      <c r="A51" s="129">
        <v>49</v>
      </c>
      <c r="B51" s="129"/>
      <c r="C51" s="149" t="s">
        <v>1755</v>
      </c>
      <c r="D51" s="140" t="s">
        <v>1729</v>
      </c>
      <c r="E51" s="10" t="s">
        <v>266</v>
      </c>
      <c r="F51" s="157" t="s">
        <v>1756</v>
      </c>
      <c r="G51" s="129" t="s">
        <v>267</v>
      </c>
      <c r="H51" s="129"/>
      <c r="I51" s="148" t="s">
        <v>1757</v>
      </c>
      <c r="J51" s="129"/>
      <c r="K51" s="141"/>
      <c r="L51" s="129"/>
      <c r="M51" s="23" t="s">
        <v>313</v>
      </c>
      <c r="N51" s="8"/>
      <c r="O51" s="129"/>
      <c r="P51" s="129"/>
      <c r="Q51" s="129"/>
      <c r="R51" s="129"/>
    </row>
    <row r="52" spans="1:18" ht="160" customHeight="1">
      <c r="A52" s="129">
        <v>50</v>
      </c>
      <c r="B52" s="137"/>
      <c r="C52" s="129" t="s">
        <v>1064</v>
      </c>
      <c r="D52" s="129" t="s">
        <v>1065</v>
      </c>
      <c r="E52" s="129" t="s">
        <v>1066</v>
      </c>
      <c r="F52" s="129" t="s">
        <v>1323</v>
      </c>
      <c r="G52" s="7" t="s">
        <v>1067</v>
      </c>
      <c r="H52" s="129"/>
      <c r="I52" s="129" t="s">
        <v>1380</v>
      </c>
      <c r="J52" s="129"/>
      <c r="K52" s="151" t="s">
        <v>1068</v>
      </c>
      <c r="L52" s="129"/>
      <c r="M52" s="129"/>
      <c r="N52" s="129"/>
      <c r="O52" s="129"/>
      <c r="P52" s="129"/>
      <c r="Q52" s="129"/>
      <c r="R52" s="129"/>
    </row>
    <row r="53" spans="1:18" ht="186.75" customHeight="1">
      <c r="A53" s="129">
        <v>51</v>
      </c>
      <c r="B53" s="129"/>
      <c r="C53" s="129" t="s">
        <v>1468</v>
      </c>
      <c r="D53" s="129" t="s">
        <v>1469</v>
      </c>
      <c r="E53" s="129" t="s">
        <v>1470</v>
      </c>
      <c r="F53" s="129" t="s">
        <v>1658</v>
      </c>
      <c r="G53" s="129"/>
      <c r="H53" s="129"/>
      <c r="I53" s="129" t="s">
        <v>1471</v>
      </c>
      <c r="J53" s="129"/>
      <c r="K53" s="129" t="s">
        <v>1557</v>
      </c>
      <c r="L53" s="129"/>
      <c r="M53" s="129"/>
      <c r="N53" s="129"/>
      <c r="O53" s="129"/>
      <c r="P53" s="129"/>
      <c r="Q53" s="129"/>
      <c r="R53" s="129"/>
    </row>
    <row r="54" spans="1:18" ht="133.25" customHeight="1">
      <c r="A54" s="129">
        <v>52</v>
      </c>
      <c r="B54" s="144"/>
      <c r="C54" s="149" t="s">
        <v>746</v>
      </c>
      <c r="D54" s="7" t="s">
        <v>747</v>
      </c>
      <c r="E54" s="10" t="s">
        <v>748</v>
      </c>
      <c r="F54" s="148" t="s">
        <v>1245</v>
      </c>
      <c r="G54" s="10" t="s">
        <v>749</v>
      </c>
      <c r="H54" s="129"/>
      <c r="I54" s="148" t="s">
        <v>750</v>
      </c>
      <c r="J54" s="129"/>
      <c r="K54" s="141"/>
      <c r="L54" s="129"/>
      <c r="M54" s="129"/>
      <c r="N54" s="129"/>
      <c r="O54" s="129"/>
      <c r="P54" s="129"/>
      <c r="Q54" s="129"/>
      <c r="R54" s="129"/>
    </row>
    <row r="55" spans="1:18" ht="186.75" customHeight="1">
      <c r="A55" s="129">
        <v>53</v>
      </c>
      <c r="B55" s="137"/>
      <c r="C55" s="129" t="s">
        <v>259</v>
      </c>
      <c r="D55" s="129" t="s">
        <v>314</v>
      </c>
      <c r="E55" s="129" t="s">
        <v>266</v>
      </c>
      <c r="F55" s="129" t="s">
        <v>1167</v>
      </c>
      <c r="G55" s="129" t="s">
        <v>1698</v>
      </c>
      <c r="H55" s="129"/>
      <c r="I55" s="129" t="s">
        <v>315</v>
      </c>
      <c r="J55" s="129"/>
      <c r="K55" s="129"/>
      <c r="L55" s="129"/>
      <c r="M55" s="129"/>
      <c r="N55" s="129"/>
      <c r="O55" s="129"/>
      <c r="P55" s="129"/>
      <c r="Q55" s="129"/>
      <c r="R55" s="129"/>
    </row>
    <row r="56" spans="1:18" ht="106.75" customHeight="1">
      <c r="A56" s="129">
        <v>54</v>
      </c>
      <c r="B56" s="129"/>
      <c r="C56" s="129" t="s">
        <v>876</v>
      </c>
      <c r="D56" s="129" t="s">
        <v>877</v>
      </c>
      <c r="E56" s="129" t="s">
        <v>878</v>
      </c>
      <c r="F56" s="129" t="s">
        <v>1270</v>
      </c>
      <c r="G56" s="129"/>
      <c r="H56" s="129"/>
      <c r="I56" s="129" t="s">
        <v>879</v>
      </c>
      <c r="J56" s="129"/>
      <c r="K56" s="153" t="s">
        <v>880</v>
      </c>
      <c r="L56" s="129"/>
      <c r="M56" s="129"/>
      <c r="N56" s="129"/>
      <c r="O56" s="129"/>
      <c r="P56" s="129"/>
      <c r="Q56" s="129"/>
      <c r="R56" s="129"/>
    </row>
    <row r="57" spans="1:18" ht="133.25" customHeight="1">
      <c r="A57" s="129">
        <v>55</v>
      </c>
      <c r="B57" s="137">
        <v>46050</v>
      </c>
      <c r="C57" s="160" t="s">
        <v>664</v>
      </c>
      <c r="D57" s="20" t="s">
        <v>665</v>
      </c>
      <c r="E57" s="140" t="s">
        <v>266</v>
      </c>
      <c r="F57" s="148" t="s">
        <v>1231</v>
      </c>
      <c r="G57" s="129" t="s">
        <v>1699</v>
      </c>
      <c r="H57" s="129"/>
      <c r="I57" s="192" t="s">
        <v>1758</v>
      </c>
      <c r="J57" s="129" t="s">
        <v>666</v>
      </c>
      <c r="K57" s="140" t="s">
        <v>667</v>
      </c>
      <c r="L57" s="129"/>
      <c r="M57" s="23" t="s">
        <v>668</v>
      </c>
      <c r="N57" s="8"/>
      <c r="O57" s="129"/>
      <c r="P57" s="129"/>
      <c r="Q57" s="129"/>
      <c r="R57" s="129"/>
    </row>
    <row r="58" spans="1:18" ht="160" customHeight="1">
      <c r="A58" s="129">
        <v>56</v>
      </c>
      <c r="B58" s="137">
        <v>46048</v>
      </c>
      <c r="C58" s="129" t="s">
        <v>622</v>
      </c>
      <c r="D58" s="129" t="s">
        <v>623</v>
      </c>
      <c r="E58" s="129" t="s">
        <v>266</v>
      </c>
      <c r="F58" s="129" t="s">
        <v>1225</v>
      </c>
      <c r="G58" s="129" t="s">
        <v>624</v>
      </c>
      <c r="H58" s="129" t="s">
        <v>625</v>
      </c>
      <c r="I58" s="129" t="s">
        <v>1759</v>
      </c>
      <c r="J58" s="129" t="s">
        <v>626</v>
      </c>
      <c r="K58" s="129" t="s">
        <v>1355</v>
      </c>
      <c r="L58" s="129"/>
      <c r="M58" s="8"/>
      <c r="N58" s="8"/>
      <c r="O58" s="129"/>
      <c r="P58" s="129"/>
      <c r="Q58" s="129"/>
      <c r="R58" s="129"/>
    </row>
    <row r="59" spans="1:18" ht="213.25" customHeight="1">
      <c r="A59" s="129">
        <v>57</v>
      </c>
      <c r="B59" s="129"/>
      <c r="C59" s="129" t="s">
        <v>652</v>
      </c>
      <c r="D59" s="129" t="s">
        <v>653</v>
      </c>
      <c r="E59" s="129" t="s">
        <v>266</v>
      </c>
      <c r="F59" s="129" t="s">
        <v>1417</v>
      </c>
      <c r="G59" s="129" t="s">
        <v>1700</v>
      </c>
      <c r="H59" s="129"/>
      <c r="I59" s="129" t="s">
        <v>1760</v>
      </c>
      <c r="J59" s="129"/>
      <c r="K59" s="129"/>
      <c r="L59" s="129"/>
      <c r="M59" s="23" t="s">
        <v>654</v>
      </c>
      <c r="N59" s="8"/>
      <c r="O59" s="129"/>
      <c r="P59" s="129"/>
      <c r="Q59" s="129"/>
      <c r="R59" s="129"/>
    </row>
    <row r="60" spans="1:18" ht="160" customHeight="1">
      <c r="A60" s="129">
        <v>58</v>
      </c>
      <c r="B60" s="129"/>
      <c r="C60" s="129" t="s">
        <v>1050</v>
      </c>
      <c r="D60" s="129" t="s">
        <v>1051</v>
      </c>
      <c r="E60" s="129" t="s">
        <v>266</v>
      </c>
      <c r="F60" s="129" t="s">
        <v>1318</v>
      </c>
      <c r="G60" s="129"/>
      <c r="H60" s="129"/>
      <c r="I60" s="129"/>
      <c r="J60" s="129"/>
      <c r="K60" s="129"/>
      <c r="L60" s="129"/>
      <c r="M60" s="8"/>
      <c r="N60" s="8"/>
      <c r="O60" s="129"/>
      <c r="P60" s="129"/>
      <c r="Q60" s="129"/>
      <c r="R60" s="129"/>
    </row>
    <row r="61" spans="1:18" ht="133.25" customHeight="1">
      <c r="A61" s="129">
        <v>59</v>
      </c>
      <c r="B61" s="134" t="s">
        <v>287</v>
      </c>
      <c r="C61" s="129" t="s">
        <v>768</v>
      </c>
      <c r="D61" s="129" t="s">
        <v>769</v>
      </c>
      <c r="E61" s="129" t="s">
        <v>266</v>
      </c>
      <c r="F61" s="129" t="s">
        <v>1905</v>
      </c>
      <c r="G61" s="129" t="s">
        <v>770</v>
      </c>
      <c r="H61" s="129" t="s">
        <v>771</v>
      </c>
      <c r="I61" s="129" t="s">
        <v>772</v>
      </c>
      <c r="J61" s="129" t="s">
        <v>773</v>
      </c>
      <c r="K61" s="129" t="s">
        <v>774</v>
      </c>
      <c r="L61" s="129"/>
      <c r="M61" s="8"/>
      <c r="N61" s="8"/>
      <c r="O61" s="129"/>
      <c r="P61" s="129"/>
      <c r="Q61" s="129"/>
      <c r="R61" s="129"/>
    </row>
    <row r="62" spans="1:18" ht="106.75" customHeight="1">
      <c r="A62" s="129">
        <v>60</v>
      </c>
      <c r="B62" s="129"/>
      <c r="C62" s="129"/>
      <c r="D62" s="129" t="s">
        <v>260</v>
      </c>
      <c r="E62" s="129" t="s">
        <v>265</v>
      </c>
      <c r="F62" s="129" t="s">
        <v>1906</v>
      </c>
      <c r="G62" s="129" t="s">
        <v>320</v>
      </c>
      <c r="H62" s="129"/>
      <c r="I62" s="129" t="s">
        <v>321</v>
      </c>
      <c r="J62" s="129"/>
      <c r="K62" s="129"/>
      <c r="L62" s="129"/>
      <c r="M62" s="8"/>
      <c r="N62" s="8"/>
      <c r="O62" s="129"/>
      <c r="P62" s="129"/>
      <c r="Q62" s="129"/>
      <c r="R62" s="129"/>
    </row>
    <row r="63" spans="1:18" ht="160" customHeight="1">
      <c r="A63" s="129">
        <v>61</v>
      </c>
      <c r="B63" s="137">
        <v>46050</v>
      </c>
      <c r="C63" s="129" t="s">
        <v>261</v>
      </c>
      <c r="D63" s="129" t="s">
        <v>322</v>
      </c>
      <c r="E63" s="129" t="s">
        <v>265</v>
      </c>
      <c r="F63" s="129" t="s">
        <v>1169</v>
      </c>
      <c r="G63" s="129" t="s">
        <v>1701</v>
      </c>
      <c r="H63" s="129"/>
      <c r="I63" s="129" t="s">
        <v>323</v>
      </c>
      <c r="J63" s="129" t="s">
        <v>324</v>
      </c>
      <c r="K63" s="129" t="s">
        <v>325</v>
      </c>
      <c r="L63" s="129"/>
      <c r="M63" s="8"/>
      <c r="N63" s="8"/>
      <c r="O63" s="129"/>
      <c r="P63" s="129"/>
      <c r="Q63" s="129"/>
      <c r="R63" s="129"/>
    </row>
    <row r="64" spans="1:18" ht="160" customHeight="1">
      <c r="A64" s="129">
        <v>62</v>
      </c>
      <c r="B64" s="137">
        <v>46048</v>
      </c>
      <c r="C64" s="129" t="s">
        <v>1533</v>
      </c>
      <c r="D64" s="129" t="s">
        <v>840</v>
      </c>
      <c r="E64" s="129" t="s">
        <v>266</v>
      </c>
      <c r="F64" s="129" t="s">
        <v>1534</v>
      </c>
      <c r="G64" s="129" t="s">
        <v>841</v>
      </c>
      <c r="H64" s="129" t="s">
        <v>842</v>
      </c>
      <c r="I64" s="129" t="s">
        <v>1659</v>
      </c>
      <c r="J64" s="129" t="s">
        <v>843</v>
      </c>
      <c r="K64" s="129" t="s">
        <v>844</v>
      </c>
      <c r="L64" s="129"/>
      <c r="M64" s="8"/>
      <c r="N64" s="8"/>
      <c r="O64" s="129"/>
      <c r="P64" s="129"/>
      <c r="Q64" s="129"/>
      <c r="R64" s="129"/>
    </row>
    <row r="65" spans="1:18" ht="133.25" customHeight="1">
      <c r="A65" s="129">
        <v>63</v>
      </c>
      <c r="B65" s="129"/>
      <c r="C65" s="129" t="s">
        <v>326</v>
      </c>
      <c r="D65" s="129" t="s">
        <v>327</v>
      </c>
      <c r="E65" s="129" t="s">
        <v>265</v>
      </c>
      <c r="F65" s="129" t="s">
        <v>1170</v>
      </c>
      <c r="G65" s="129" t="s">
        <v>1702</v>
      </c>
      <c r="H65" s="129"/>
      <c r="I65" s="129" t="s">
        <v>328</v>
      </c>
      <c r="J65" s="129"/>
      <c r="K65" s="129"/>
      <c r="L65" s="129"/>
      <c r="M65" s="8"/>
      <c r="N65" s="8"/>
      <c r="O65" s="129"/>
      <c r="P65" s="129"/>
      <c r="Q65" s="129"/>
      <c r="R65" s="129"/>
    </row>
    <row r="66" spans="1:18" ht="266.75" customHeight="1">
      <c r="A66" s="129">
        <v>64</v>
      </c>
      <c r="B66" s="138"/>
      <c r="C66" s="135" t="s">
        <v>1083</v>
      </c>
      <c r="D66" s="135" t="s">
        <v>1084</v>
      </c>
      <c r="E66" s="129" t="s">
        <v>1066</v>
      </c>
      <c r="F66" s="129" t="s">
        <v>1326</v>
      </c>
      <c r="G66" s="129" t="s">
        <v>1085</v>
      </c>
      <c r="H66" s="129"/>
      <c r="I66" s="129" t="s">
        <v>1086</v>
      </c>
      <c r="J66" s="129"/>
      <c r="K66" s="129" t="s">
        <v>1087</v>
      </c>
      <c r="L66" s="129"/>
      <c r="M66" s="129"/>
      <c r="N66" s="129"/>
      <c r="O66" s="129"/>
      <c r="P66" s="129"/>
      <c r="Q66" s="129"/>
      <c r="R66" s="129"/>
    </row>
    <row r="67" spans="1:18" ht="133.25" customHeight="1">
      <c r="A67" s="129">
        <v>65</v>
      </c>
      <c r="B67" s="137">
        <v>46051</v>
      </c>
      <c r="C67" s="129" t="s">
        <v>1046</v>
      </c>
      <c r="D67" s="129" t="s">
        <v>1047</v>
      </c>
      <c r="E67" s="129" t="s">
        <v>266</v>
      </c>
      <c r="F67" s="139" t="s">
        <v>1317</v>
      </c>
      <c r="G67" s="129"/>
      <c r="H67" s="129"/>
      <c r="I67" s="129" t="s">
        <v>1048</v>
      </c>
      <c r="J67" s="129"/>
      <c r="K67" s="129"/>
      <c r="L67" s="129"/>
      <c r="M67" s="129"/>
      <c r="N67" s="129"/>
      <c r="O67" s="129"/>
      <c r="P67" s="129"/>
      <c r="Q67" s="129"/>
      <c r="R67" s="129"/>
    </row>
    <row r="68" spans="1:18" ht="266.75" customHeight="1">
      <c r="A68" s="129">
        <v>66</v>
      </c>
      <c r="B68" s="143">
        <v>46050</v>
      </c>
      <c r="C68" s="135" t="s">
        <v>329</v>
      </c>
      <c r="D68" s="135" t="s">
        <v>330</v>
      </c>
      <c r="E68" s="129" t="s">
        <v>265</v>
      </c>
      <c r="F68" s="129" t="s">
        <v>1907</v>
      </c>
      <c r="G68" s="139" t="s">
        <v>1692</v>
      </c>
      <c r="H68" s="139" t="s">
        <v>331</v>
      </c>
      <c r="I68" s="129" t="s">
        <v>332</v>
      </c>
      <c r="J68" s="129"/>
      <c r="K68" s="129" t="s">
        <v>333</v>
      </c>
      <c r="L68" s="129"/>
      <c r="M68" s="129"/>
      <c r="N68" s="129"/>
      <c r="O68" s="129"/>
      <c r="P68" s="129"/>
      <c r="Q68" s="129"/>
      <c r="R68" s="129"/>
    </row>
    <row r="69" spans="1:18" ht="133.25" customHeight="1">
      <c r="A69" s="129">
        <v>67</v>
      </c>
      <c r="B69" s="129"/>
      <c r="C69" s="156" t="s">
        <v>334</v>
      </c>
      <c r="D69" s="20" t="s">
        <v>335</v>
      </c>
      <c r="E69" s="129" t="s">
        <v>266</v>
      </c>
      <c r="F69" s="148" t="s">
        <v>1171</v>
      </c>
      <c r="G69" s="129" t="s">
        <v>336</v>
      </c>
      <c r="H69" s="129"/>
      <c r="I69" s="148" t="s">
        <v>1761</v>
      </c>
      <c r="J69" s="129"/>
      <c r="K69" s="14"/>
      <c r="L69" s="129"/>
      <c r="M69" s="23" t="s">
        <v>337</v>
      </c>
      <c r="N69" s="8"/>
      <c r="O69" s="129"/>
      <c r="P69" s="129"/>
      <c r="Q69" s="129"/>
      <c r="R69" s="129"/>
    </row>
    <row r="70" spans="1:18" ht="160" customHeight="1">
      <c r="A70" s="129">
        <v>68</v>
      </c>
      <c r="B70" s="137"/>
      <c r="C70" s="129" t="s">
        <v>1908</v>
      </c>
      <c r="D70" s="129" t="s">
        <v>1909</v>
      </c>
      <c r="E70" s="129" t="s">
        <v>1339</v>
      </c>
      <c r="F70" s="129" t="s">
        <v>1910</v>
      </c>
      <c r="G70" s="129" t="s">
        <v>1340</v>
      </c>
      <c r="H70" s="129"/>
      <c r="I70" s="129" t="s">
        <v>1762</v>
      </c>
      <c r="J70" s="129"/>
      <c r="K70" s="129" t="s">
        <v>1341</v>
      </c>
      <c r="L70" s="129"/>
      <c r="M70" s="8"/>
      <c r="N70" s="8"/>
      <c r="O70" s="129"/>
      <c r="P70" s="129"/>
      <c r="Q70" s="129"/>
      <c r="R70" s="129"/>
    </row>
    <row r="71" spans="1:18" ht="133.25" customHeight="1">
      <c r="A71" s="129">
        <v>69</v>
      </c>
      <c r="B71" s="137"/>
      <c r="C71" s="129"/>
      <c r="D71" s="11" t="s">
        <v>1055</v>
      </c>
      <c r="E71" s="7" t="s">
        <v>1539</v>
      </c>
      <c r="F71" s="12" t="s">
        <v>1056</v>
      </c>
      <c r="G71" s="129"/>
      <c r="H71" s="129"/>
      <c r="I71" s="16" t="s">
        <v>1378</v>
      </c>
      <c r="J71" s="129"/>
      <c r="K71" s="129" t="s">
        <v>1379</v>
      </c>
      <c r="L71" s="129"/>
      <c r="M71" s="129"/>
      <c r="N71" s="129"/>
      <c r="O71" s="129"/>
      <c r="P71" s="129"/>
      <c r="Q71" s="129"/>
      <c r="R71" s="129"/>
    </row>
    <row r="72" spans="1:18" ht="240" customHeight="1">
      <c r="A72" s="129">
        <v>70</v>
      </c>
      <c r="B72" s="173" t="s">
        <v>338</v>
      </c>
      <c r="C72" s="135" t="s">
        <v>339</v>
      </c>
      <c r="D72" s="135" t="s">
        <v>340</v>
      </c>
      <c r="E72" s="129" t="s">
        <v>265</v>
      </c>
      <c r="F72" s="129" t="s">
        <v>1172</v>
      </c>
      <c r="G72" s="129"/>
      <c r="H72" s="129" t="s">
        <v>341</v>
      </c>
      <c r="I72" s="129" t="s">
        <v>342</v>
      </c>
      <c r="J72" s="129" t="s">
        <v>343</v>
      </c>
      <c r="K72" s="129" t="s">
        <v>344</v>
      </c>
      <c r="L72" s="129"/>
      <c r="M72" s="129"/>
      <c r="N72" s="129"/>
      <c r="O72" s="129"/>
      <c r="P72" s="129"/>
      <c r="Q72" s="129"/>
      <c r="R72" s="129"/>
    </row>
    <row r="73" spans="1:18" ht="160" customHeight="1">
      <c r="A73" s="129">
        <v>71</v>
      </c>
      <c r="B73" s="129"/>
      <c r="C73" s="129" t="s">
        <v>345</v>
      </c>
      <c r="D73" s="129" t="s">
        <v>973</v>
      </c>
      <c r="E73" s="129" t="s">
        <v>265</v>
      </c>
      <c r="F73" s="129" t="s">
        <v>1514</v>
      </c>
      <c r="G73" s="129" t="s">
        <v>346</v>
      </c>
      <c r="H73" s="129"/>
      <c r="I73" s="129" t="s">
        <v>1509</v>
      </c>
      <c r="J73" s="129" t="s">
        <v>1660</v>
      </c>
      <c r="K73" s="129" t="s">
        <v>1365</v>
      </c>
      <c r="L73" s="129"/>
      <c r="M73" s="129"/>
      <c r="N73" s="129"/>
      <c r="O73" s="129"/>
      <c r="P73" s="129"/>
      <c r="Q73" s="129"/>
      <c r="R73" s="129"/>
    </row>
    <row r="74" spans="1:18" ht="106.75" customHeight="1">
      <c r="A74" s="129">
        <v>72</v>
      </c>
      <c r="B74" s="137"/>
      <c r="C74" s="129" t="s">
        <v>594</v>
      </c>
      <c r="D74" s="129" t="s">
        <v>595</v>
      </c>
      <c r="E74" s="129" t="s">
        <v>266</v>
      </c>
      <c r="F74" s="129" t="s">
        <v>1522</v>
      </c>
      <c r="G74" s="129"/>
      <c r="H74" s="129"/>
      <c r="I74" s="129" t="s">
        <v>596</v>
      </c>
      <c r="J74" s="129"/>
      <c r="K74" s="129"/>
      <c r="L74" s="129"/>
      <c r="M74" s="129"/>
      <c r="N74" s="129"/>
      <c r="O74" s="129"/>
      <c r="P74" s="129"/>
      <c r="Q74" s="129"/>
      <c r="R74" s="129"/>
    </row>
    <row r="75" spans="1:18" ht="151" customHeight="1">
      <c r="A75" s="129">
        <v>73</v>
      </c>
      <c r="B75" s="129"/>
      <c r="C75" s="129" t="s">
        <v>916</v>
      </c>
      <c r="D75" s="129" t="s">
        <v>917</v>
      </c>
      <c r="E75" s="129" t="s">
        <v>266</v>
      </c>
      <c r="F75" s="129" t="s">
        <v>1444</v>
      </c>
      <c r="G75" s="129"/>
      <c r="H75" s="129"/>
      <c r="I75" s="129" t="s">
        <v>918</v>
      </c>
      <c r="J75" s="129"/>
      <c r="K75" s="129"/>
      <c r="L75" s="129"/>
      <c r="M75" s="129"/>
      <c r="N75" s="129"/>
      <c r="O75" s="129"/>
      <c r="P75" s="129"/>
      <c r="Q75" s="129"/>
      <c r="R75" s="129"/>
    </row>
    <row r="76" spans="1:18" ht="133.25" customHeight="1">
      <c r="A76" s="129">
        <v>74</v>
      </c>
      <c r="B76" s="137">
        <v>46050</v>
      </c>
      <c r="C76" s="129" t="s">
        <v>1223</v>
      </c>
      <c r="D76" s="129" t="s">
        <v>597</v>
      </c>
      <c r="E76" s="129" t="s">
        <v>266</v>
      </c>
      <c r="F76" s="129" t="s">
        <v>1431</v>
      </c>
      <c r="G76" s="129" t="s">
        <v>598</v>
      </c>
      <c r="H76" s="129"/>
      <c r="I76" s="129" t="s">
        <v>599</v>
      </c>
      <c r="J76" s="129" t="s">
        <v>600</v>
      </c>
      <c r="K76" s="129" t="s">
        <v>601</v>
      </c>
      <c r="L76" s="129"/>
      <c r="M76" s="129"/>
      <c r="N76" s="129"/>
      <c r="O76" s="129"/>
      <c r="P76" s="129"/>
      <c r="Q76" s="129"/>
      <c r="R76" s="129"/>
    </row>
    <row r="77" spans="1:18" ht="106.75" customHeight="1">
      <c r="A77" s="129">
        <v>75</v>
      </c>
      <c r="B77" s="137">
        <v>46050</v>
      </c>
      <c r="C77" s="129"/>
      <c r="D77" s="129" t="s">
        <v>1037</v>
      </c>
      <c r="E77" s="135" t="s">
        <v>265</v>
      </c>
      <c r="F77" s="129" t="s">
        <v>1038</v>
      </c>
      <c r="G77" s="129" t="s">
        <v>1039</v>
      </c>
      <c r="H77" s="129"/>
      <c r="I77" s="129" t="s">
        <v>1040</v>
      </c>
      <c r="J77" s="129"/>
      <c r="K77" s="129" t="s">
        <v>1041</v>
      </c>
      <c r="L77" s="129"/>
      <c r="M77" s="129"/>
      <c r="N77" s="129"/>
      <c r="O77" s="129"/>
      <c r="P77" s="129"/>
      <c r="Q77" s="129"/>
      <c r="R77" s="129"/>
    </row>
    <row r="78" spans="1:18" ht="106.75" customHeight="1">
      <c r="A78" s="129">
        <v>76</v>
      </c>
      <c r="B78" s="129"/>
      <c r="C78" s="129"/>
      <c r="D78" s="129" t="s">
        <v>1763</v>
      </c>
      <c r="E78" s="129" t="s">
        <v>1539</v>
      </c>
      <c r="F78" s="129" t="s">
        <v>1764</v>
      </c>
      <c r="G78" s="129"/>
      <c r="H78" s="129"/>
      <c r="I78" s="129" t="s">
        <v>1765</v>
      </c>
      <c r="J78" s="129" t="s">
        <v>1094</v>
      </c>
      <c r="K78" s="129" t="s">
        <v>1093</v>
      </c>
      <c r="L78" s="129"/>
      <c r="M78" s="129"/>
      <c r="N78" s="129"/>
      <c r="O78" s="129"/>
      <c r="P78" s="129"/>
      <c r="Q78" s="129"/>
      <c r="R78" s="129"/>
    </row>
    <row r="79" spans="1:18" ht="133.25" customHeight="1">
      <c r="A79" s="129">
        <v>77</v>
      </c>
      <c r="B79" s="137"/>
      <c r="C79" s="129" t="s">
        <v>347</v>
      </c>
      <c r="D79" s="11" t="s">
        <v>348</v>
      </c>
      <c r="E79" s="129" t="s">
        <v>265</v>
      </c>
      <c r="F79" s="12" t="s">
        <v>1911</v>
      </c>
      <c r="G79" s="129" t="s">
        <v>349</v>
      </c>
      <c r="H79" s="129"/>
      <c r="I79" s="193" t="s">
        <v>350</v>
      </c>
      <c r="J79" s="129"/>
      <c r="K79" s="18"/>
      <c r="L79" s="129"/>
      <c r="M79" s="129"/>
      <c r="N79" s="129"/>
      <c r="O79" s="129"/>
      <c r="P79" s="129"/>
      <c r="Q79" s="129"/>
      <c r="R79" s="129"/>
    </row>
    <row r="80" spans="1:18" ht="160" customHeight="1">
      <c r="A80" s="129">
        <v>78</v>
      </c>
      <c r="B80" s="129"/>
      <c r="C80" s="129" t="s">
        <v>351</v>
      </c>
      <c r="D80" s="129" t="s">
        <v>352</v>
      </c>
      <c r="E80" s="129" t="s">
        <v>1539</v>
      </c>
      <c r="F80" s="129" t="s">
        <v>1422</v>
      </c>
      <c r="G80" s="129" t="s">
        <v>1342</v>
      </c>
      <c r="H80" s="129"/>
      <c r="I80" s="129" t="s">
        <v>1766</v>
      </c>
      <c r="J80" s="129"/>
      <c r="K80" s="129" t="s">
        <v>1343</v>
      </c>
      <c r="L80" s="129"/>
      <c r="M80" s="129"/>
      <c r="N80" s="129"/>
      <c r="O80" s="129"/>
      <c r="P80" s="129"/>
      <c r="Q80" s="129"/>
      <c r="R80" s="129"/>
    </row>
    <row r="81" spans="1:18" ht="186.75" customHeight="1">
      <c r="A81" s="129">
        <v>79</v>
      </c>
      <c r="B81" s="129"/>
      <c r="C81" s="129" t="s">
        <v>737</v>
      </c>
      <c r="D81" s="129" t="s">
        <v>738</v>
      </c>
      <c r="E81" s="129" t="s">
        <v>266</v>
      </c>
      <c r="F81" s="129" t="s">
        <v>1243</v>
      </c>
      <c r="G81" s="129" t="s">
        <v>739</v>
      </c>
      <c r="H81" s="129"/>
      <c r="I81" s="129" t="s">
        <v>1767</v>
      </c>
      <c r="J81" s="129"/>
      <c r="K81" s="129" t="s">
        <v>740</v>
      </c>
      <c r="L81" s="129"/>
      <c r="M81" s="23" t="s">
        <v>741</v>
      </c>
      <c r="N81" s="129"/>
      <c r="O81" s="129"/>
      <c r="P81" s="129"/>
      <c r="Q81" s="129"/>
      <c r="R81" s="129"/>
    </row>
    <row r="82" spans="1:18" ht="106.75" customHeight="1">
      <c r="A82" s="129">
        <v>80</v>
      </c>
      <c r="B82" s="137">
        <v>46048</v>
      </c>
      <c r="C82" s="149" t="s">
        <v>353</v>
      </c>
      <c r="D82" s="20" t="s">
        <v>354</v>
      </c>
      <c r="E82" s="10" t="s">
        <v>265</v>
      </c>
      <c r="F82" s="140" t="s">
        <v>1173</v>
      </c>
      <c r="G82" s="129" t="s">
        <v>355</v>
      </c>
      <c r="H82" s="129"/>
      <c r="I82" s="148" t="s">
        <v>356</v>
      </c>
      <c r="J82" s="129" t="s">
        <v>357</v>
      </c>
      <c r="K82" s="140" t="s">
        <v>358</v>
      </c>
      <c r="L82" s="129"/>
      <c r="M82" s="129"/>
      <c r="N82" s="129"/>
      <c r="O82" s="129"/>
      <c r="P82" s="129"/>
      <c r="Q82" s="129"/>
      <c r="R82" s="129"/>
    </row>
    <row r="83" spans="1:18" ht="160" customHeight="1">
      <c r="A83" s="129">
        <v>81</v>
      </c>
      <c r="B83" s="143">
        <v>46048</v>
      </c>
      <c r="C83" s="135"/>
      <c r="D83" s="135" t="s">
        <v>359</v>
      </c>
      <c r="E83" s="129" t="s">
        <v>265</v>
      </c>
      <c r="F83" s="129" t="s">
        <v>1174</v>
      </c>
      <c r="G83" s="129" t="s">
        <v>360</v>
      </c>
      <c r="H83" s="129"/>
      <c r="I83" s="129" t="s">
        <v>361</v>
      </c>
      <c r="J83" s="129" t="s">
        <v>362</v>
      </c>
      <c r="K83" s="129" t="s">
        <v>363</v>
      </c>
      <c r="L83" s="129"/>
      <c r="M83" s="129"/>
      <c r="N83" s="129"/>
      <c r="O83" s="129"/>
      <c r="P83" s="129"/>
      <c r="Q83" s="129"/>
      <c r="R83" s="129"/>
    </row>
    <row r="84" spans="1:18" ht="106.75" customHeight="1">
      <c r="A84" s="129">
        <v>82</v>
      </c>
      <c r="B84" s="129"/>
      <c r="C84" s="149" t="s">
        <v>367</v>
      </c>
      <c r="D84" s="7" t="s">
        <v>365</v>
      </c>
      <c r="E84" s="10" t="s">
        <v>1539</v>
      </c>
      <c r="F84" s="148" t="s">
        <v>1175</v>
      </c>
      <c r="G84" s="129" t="s">
        <v>368</v>
      </c>
      <c r="H84" s="129"/>
      <c r="I84" s="148" t="s">
        <v>369</v>
      </c>
      <c r="J84" s="129"/>
      <c r="K84" s="18"/>
      <c r="L84" s="129"/>
      <c r="M84" s="129"/>
      <c r="N84" s="129"/>
      <c r="O84" s="129"/>
      <c r="P84" s="129"/>
      <c r="Q84" s="129"/>
      <c r="R84" s="129"/>
    </row>
    <row r="85" spans="1:18" ht="106.75" customHeight="1">
      <c r="A85" s="129">
        <v>83</v>
      </c>
      <c r="B85" s="129"/>
      <c r="C85" s="129" t="s">
        <v>364</v>
      </c>
      <c r="D85" s="129" t="s">
        <v>1730</v>
      </c>
      <c r="E85" s="129" t="s">
        <v>1539</v>
      </c>
      <c r="F85" s="129" t="s">
        <v>1731</v>
      </c>
      <c r="G85" s="129" t="s">
        <v>366</v>
      </c>
      <c r="H85" s="129"/>
      <c r="I85" s="129" t="s">
        <v>1768</v>
      </c>
      <c r="J85" s="129"/>
      <c r="K85" s="129"/>
      <c r="L85" s="129"/>
      <c r="M85" s="129"/>
      <c r="N85" s="129"/>
      <c r="O85" s="129"/>
      <c r="P85" s="129"/>
      <c r="Q85" s="129"/>
      <c r="R85" s="129"/>
    </row>
    <row r="86" spans="1:18" ht="80" customHeight="1">
      <c r="A86" s="129">
        <v>84</v>
      </c>
      <c r="B86" s="137">
        <v>46058</v>
      </c>
      <c r="C86" s="129"/>
      <c r="D86" s="129" t="s">
        <v>1526</v>
      </c>
      <c r="E86" s="154"/>
      <c r="F86" s="129" t="s">
        <v>1912</v>
      </c>
      <c r="G86" s="129"/>
      <c r="H86" s="129"/>
      <c r="I86" s="129" t="s">
        <v>1049</v>
      </c>
      <c r="J86" s="129"/>
      <c r="K86" s="129"/>
      <c r="L86" s="129"/>
      <c r="M86" s="129"/>
      <c r="N86" s="129"/>
      <c r="O86" s="129"/>
      <c r="P86" s="129"/>
      <c r="Q86" s="129"/>
      <c r="R86" s="129"/>
    </row>
    <row r="87" spans="1:18" ht="106.75" customHeight="1">
      <c r="A87" s="129">
        <v>85</v>
      </c>
      <c r="B87" s="137">
        <v>46048</v>
      </c>
      <c r="C87" s="129"/>
      <c r="D87" s="129" t="s">
        <v>991</v>
      </c>
      <c r="E87" s="129" t="s">
        <v>1539</v>
      </c>
      <c r="F87" s="129" t="s">
        <v>1309</v>
      </c>
      <c r="G87" s="129"/>
      <c r="H87" s="129"/>
      <c r="I87" s="129" t="s">
        <v>992</v>
      </c>
      <c r="J87" s="129"/>
      <c r="K87" s="129" t="s">
        <v>1367</v>
      </c>
      <c r="L87" s="129"/>
      <c r="M87" s="129"/>
      <c r="N87" s="129"/>
      <c r="O87" s="129"/>
      <c r="P87" s="129"/>
      <c r="Q87" s="129"/>
      <c r="R87" s="129"/>
    </row>
    <row r="88" spans="1:18" ht="106.75" customHeight="1">
      <c r="A88" s="129">
        <v>86</v>
      </c>
      <c r="B88" s="129"/>
      <c r="C88" s="129" t="s">
        <v>867</v>
      </c>
      <c r="D88" s="129" t="s">
        <v>868</v>
      </c>
      <c r="E88" s="129" t="s">
        <v>266</v>
      </c>
      <c r="F88" s="139" t="s">
        <v>1268</v>
      </c>
      <c r="G88" s="129"/>
      <c r="H88" s="129"/>
      <c r="I88" s="129" t="s">
        <v>869</v>
      </c>
      <c r="J88" s="129"/>
      <c r="K88" s="129"/>
      <c r="L88" s="129"/>
      <c r="M88" s="129"/>
      <c r="N88" s="129"/>
      <c r="O88" s="129"/>
      <c r="P88" s="129"/>
      <c r="Q88" s="129"/>
      <c r="R88" s="129"/>
    </row>
    <row r="89" spans="1:18" ht="186.75" customHeight="1">
      <c r="A89" s="129">
        <v>87</v>
      </c>
      <c r="B89" s="129"/>
      <c r="C89" s="129" t="s">
        <v>742</v>
      </c>
      <c r="D89" s="11" t="s">
        <v>743</v>
      </c>
      <c r="E89" s="129" t="s">
        <v>264</v>
      </c>
      <c r="F89" s="129" t="s">
        <v>1244</v>
      </c>
      <c r="G89" s="129"/>
      <c r="H89" s="129"/>
      <c r="I89" s="155" t="s">
        <v>744</v>
      </c>
      <c r="J89" s="129"/>
      <c r="K89" s="129"/>
      <c r="L89" s="23" t="s">
        <v>745</v>
      </c>
      <c r="M89" s="129"/>
      <c r="N89" s="129"/>
      <c r="O89" s="129"/>
      <c r="P89" s="129"/>
      <c r="Q89" s="129"/>
      <c r="R89" s="129"/>
    </row>
    <row r="90" spans="1:18" ht="133.25" customHeight="1">
      <c r="A90" s="129">
        <v>88</v>
      </c>
      <c r="B90" s="137">
        <v>46048</v>
      </c>
      <c r="C90" s="129" t="s">
        <v>1661</v>
      </c>
      <c r="D90" s="11" t="s">
        <v>1016</v>
      </c>
      <c r="E90" s="129" t="s">
        <v>1539</v>
      </c>
      <c r="F90" s="129" t="s">
        <v>1662</v>
      </c>
      <c r="G90" s="129" t="s">
        <v>1017</v>
      </c>
      <c r="H90" s="129" t="s">
        <v>1018</v>
      </c>
      <c r="I90" s="129" t="s">
        <v>1769</v>
      </c>
      <c r="J90" s="129" t="s">
        <v>1019</v>
      </c>
      <c r="K90" s="129" t="s">
        <v>1020</v>
      </c>
      <c r="L90" s="129"/>
      <c r="M90" s="129"/>
      <c r="N90" s="129"/>
      <c r="O90" s="129"/>
      <c r="P90" s="129"/>
      <c r="Q90" s="129"/>
      <c r="R90" s="129"/>
    </row>
    <row r="91" spans="1:18" ht="133.25" customHeight="1">
      <c r="A91" s="129">
        <v>89</v>
      </c>
      <c r="B91" s="129"/>
      <c r="C91" s="129" t="s">
        <v>1304</v>
      </c>
      <c r="D91" s="129" t="s">
        <v>1305</v>
      </c>
      <c r="E91" s="129" t="s">
        <v>634</v>
      </c>
      <c r="F91" s="129" t="s">
        <v>1306</v>
      </c>
      <c r="G91" s="129"/>
      <c r="H91" s="129"/>
      <c r="I91" s="129" t="s">
        <v>981</v>
      </c>
      <c r="J91" s="129"/>
      <c r="K91" s="129"/>
      <c r="L91" s="129"/>
      <c r="M91" s="129"/>
      <c r="N91" s="129"/>
      <c r="O91" s="129"/>
      <c r="P91" s="129"/>
      <c r="Q91" s="129"/>
      <c r="R91" s="129"/>
    </row>
    <row r="92" spans="1:18" ht="80" customHeight="1">
      <c r="A92" s="129">
        <v>90</v>
      </c>
      <c r="B92" s="129"/>
      <c r="C92" s="129" t="s">
        <v>680</v>
      </c>
      <c r="D92" s="129" t="s">
        <v>681</v>
      </c>
      <c r="E92" s="129" t="s">
        <v>266</v>
      </c>
      <c r="F92" s="129" t="s">
        <v>1233</v>
      </c>
      <c r="G92" s="129" t="s">
        <v>682</v>
      </c>
      <c r="H92" s="129"/>
      <c r="I92" s="129" t="s">
        <v>1770</v>
      </c>
      <c r="J92" s="129"/>
      <c r="K92" s="129"/>
      <c r="L92" s="129"/>
      <c r="M92" s="129"/>
      <c r="N92" s="129"/>
      <c r="O92" s="129"/>
      <c r="P92" s="129"/>
      <c r="Q92" s="129"/>
      <c r="R92" s="129"/>
    </row>
    <row r="93" spans="1:18" ht="106.75" customHeight="1">
      <c r="A93" s="129">
        <v>91</v>
      </c>
      <c r="B93" s="137"/>
      <c r="C93" s="129" t="s">
        <v>612</v>
      </c>
      <c r="D93" s="129" t="s">
        <v>613</v>
      </c>
      <c r="E93" s="129" t="s">
        <v>1539</v>
      </c>
      <c r="F93" s="129" t="s">
        <v>1913</v>
      </c>
      <c r="G93" s="129" t="s">
        <v>614</v>
      </c>
      <c r="H93" s="129"/>
      <c r="I93" s="129" t="s">
        <v>615</v>
      </c>
      <c r="J93" s="129"/>
      <c r="K93" s="129"/>
      <c r="L93" s="129"/>
      <c r="M93" s="129"/>
      <c r="N93" s="129"/>
      <c r="O93" s="129"/>
      <c r="P93" s="129"/>
      <c r="Q93" s="129"/>
      <c r="R93" s="129"/>
    </row>
    <row r="94" spans="1:18" ht="106.75" customHeight="1">
      <c r="A94" s="129">
        <v>92</v>
      </c>
      <c r="B94" s="137"/>
      <c r="C94" s="151" t="s">
        <v>913</v>
      </c>
      <c r="D94" s="11" t="s">
        <v>1279</v>
      </c>
      <c r="E94" s="129" t="s">
        <v>266</v>
      </c>
      <c r="F94" s="12" t="s">
        <v>1421</v>
      </c>
      <c r="G94" s="129"/>
      <c r="H94" s="129"/>
      <c r="I94" s="8" t="s">
        <v>914</v>
      </c>
      <c r="J94" s="154"/>
      <c r="K94" s="154"/>
      <c r="L94" s="129"/>
      <c r="M94" s="129"/>
      <c r="N94" s="129"/>
      <c r="O94" s="129"/>
      <c r="P94" s="129"/>
      <c r="Q94" s="129"/>
      <c r="R94" s="129"/>
    </row>
    <row r="95" spans="1:18" ht="106.75" customHeight="1">
      <c r="A95" s="129">
        <v>93</v>
      </c>
      <c r="B95" s="129"/>
      <c r="C95" s="129" t="s">
        <v>1352</v>
      </c>
      <c r="D95" s="129" t="s">
        <v>610</v>
      </c>
      <c r="E95" s="129" t="s">
        <v>266</v>
      </c>
      <c r="F95" s="129" t="s">
        <v>1914</v>
      </c>
      <c r="G95" s="129" t="s">
        <v>1353</v>
      </c>
      <c r="H95" s="129"/>
      <c r="I95" s="129" t="s">
        <v>1771</v>
      </c>
      <c r="J95" s="129"/>
      <c r="K95" s="129" t="s">
        <v>1558</v>
      </c>
      <c r="L95" s="129"/>
      <c r="M95" s="23" t="s">
        <v>611</v>
      </c>
      <c r="N95" s="8"/>
      <c r="O95" s="129"/>
      <c r="P95" s="129"/>
      <c r="Q95" s="129"/>
      <c r="R95" s="129"/>
    </row>
    <row r="96" spans="1:18" ht="240" customHeight="1">
      <c r="A96" s="129">
        <v>94</v>
      </c>
      <c r="B96" s="129"/>
      <c r="C96" s="129" t="s">
        <v>1505</v>
      </c>
      <c r="D96" s="135" t="s">
        <v>1506</v>
      </c>
      <c r="E96" s="129" t="s">
        <v>266</v>
      </c>
      <c r="F96" s="129" t="s">
        <v>1663</v>
      </c>
      <c r="G96" s="129"/>
      <c r="H96" s="129"/>
      <c r="I96" s="129" t="s">
        <v>1508</v>
      </c>
      <c r="J96" s="129"/>
      <c r="K96" s="129" t="s">
        <v>1507</v>
      </c>
      <c r="L96" s="129"/>
      <c r="M96" s="8"/>
      <c r="N96" s="8"/>
      <c r="O96" s="129"/>
      <c r="P96" s="129"/>
      <c r="Q96" s="129"/>
      <c r="R96" s="129"/>
    </row>
    <row r="97" spans="1:18" ht="106.75" customHeight="1">
      <c r="A97" s="129">
        <v>95</v>
      </c>
      <c r="B97" s="137"/>
      <c r="C97" s="129" t="s">
        <v>616</v>
      </c>
      <c r="D97" s="129" t="s">
        <v>617</v>
      </c>
      <c r="E97" s="129" t="s">
        <v>266</v>
      </c>
      <c r="F97" s="129" t="s">
        <v>1454</v>
      </c>
      <c r="G97" s="129" t="s">
        <v>618</v>
      </c>
      <c r="H97" s="129"/>
      <c r="I97" s="129" t="s">
        <v>619</v>
      </c>
      <c r="J97" s="129"/>
      <c r="K97" s="154"/>
      <c r="L97" s="129"/>
      <c r="M97" s="8"/>
      <c r="N97" s="8"/>
      <c r="O97" s="129"/>
      <c r="P97" s="129"/>
      <c r="Q97" s="129"/>
      <c r="R97" s="129"/>
    </row>
    <row r="98" spans="1:18" ht="133.25" customHeight="1">
      <c r="A98" s="129">
        <v>96</v>
      </c>
      <c r="B98" s="129"/>
      <c r="C98" s="129"/>
      <c r="D98" s="129" t="s">
        <v>972</v>
      </c>
      <c r="E98" s="129" t="s">
        <v>1539</v>
      </c>
      <c r="F98" s="129" t="s">
        <v>1525</v>
      </c>
      <c r="G98" s="129"/>
      <c r="H98" s="129"/>
      <c r="I98" s="129" t="s">
        <v>1519</v>
      </c>
      <c r="J98" s="129"/>
      <c r="K98" s="129"/>
      <c r="L98" s="129"/>
      <c r="M98" s="129"/>
      <c r="N98" s="8"/>
      <c r="O98" s="129"/>
      <c r="P98" s="129"/>
      <c r="Q98" s="129"/>
      <c r="R98" s="129"/>
    </row>
    <row r="99" spans="1:18" ht="106.75" customHeight="1">
      <c r="A99" s="129">
        <v>97</v>
      </c>
      <c r="B99" s="135"/>
      <c r="C99" s="135" t="s">
        <v>620</v>
      </c>
      <c r="D99" s="135" t="s">
        <v>621</v>
      </c>
      <c r="E99" s="129" t="s">
        <v>266</v>
      </c>
      <c r="F99" s="129" t="s">
        <v>1915</v>
      </c>
      <c r="G99" s="129" t="s">
        <v>1772</v>
      </c>
      <c r="H99" s="129"/>
      <c r="I99" s="129" t="s">
        <v>1773</v>
      </c>
      <c r="J99" s="129"/>
      <c r="K99" s="129" t="s">
        <v>1354</v>
      </c>
      <c r="L99" s="129"/>
      <c r="M99" s="129"/>
      <c r="N99" s="8"/>
      <c r="O99" s="129"/>
      <c r="P99" s="129"/>
      <c r="Q99" s="129"/>
      <c r="R99" s="129"/>
    </row>
    <row r="100" spans="1:18" ht="409.5" customHeight="1">
      <c r="A100" s="129">
        <v>98</v>
      </c>
      <c r="B100" s="134"/>
      <c r="C100" s="129"/>
      <c r="D100" s="129" t="s">
        <v>370</v>
      </c>
      <c r="E100" s="129" t="s">
        <v>265</v>
      </c>
      <c r="F100" s="129" t="s">
        <v>1176</v>
      </c>
      <c r="G100" s="129" t="s">
        <v>371</v>
      </c>
      <c r="H100" s="129"/>
      <c r="I100" s="129" t="s">
        <v>372</v>
      </c>
      <c r="J100" s="129"/>
      <c r="K100" s="154"/>
      <c r="L100" s="129"/>
      <c r="M100" s="8"/>
      <c r="N100" s="8"/>
      <c r="O100" s="129"/>
      <c r="P100" s="129"/>
      <c r="Q100" s="129"/>
      <c r="R100" s="129"/>
    </row>
    <row r="101" spans="1:18" ht="186.75" customHeight="1">
      <c r="A101" s="129">
        <v>99</v>
      </c>
      <c r="B101" s="137"/>
      <c r="C101" s="129" t="s">
        <v>373</v>
      </c>
      <c r="D101" s="11" t="s">
        <v>374</v>
      </c>
      <c r="E101" s="129" t="s">
        <v>375</v>
      </c>
      <c r="F101" s="12" t="s">
        <v>1177</v>
      </c>
      <c r="G101" s="129" t="s">
        <v>376</v>
      </c>
      <c r="H101" s="129"/>
      <c r="I101" s="16" t="s">
        <v>1774</v>
      </c>
      <c r="J101" s="129"/>
      <c r="K101" s="129" t="s">
        <v>377</v>
      </c>
      <c r="L101" s="129"/>
      <c r="M101" s="8"/>
      <c r="N101" s="8"/>
      <c r="O101" s="129"/>
      <c r="P101" s="129"/>
      <c r="Q101" s="129"/>
      <c r="R101" s="129"/>
    </row>
    <row r="102" spans="1:18" ht="133.25" customHeight="1">
      <c r="A102" s="129">
        <v>100</v>
      </c>
      <c r="B102" s="129"/>
      <c r="C102" s="129" t="s">
        <v>814</v>
      </c>
      <c r="D102" s="135" t="s">
        <v>815</v>
      </c>
      <c r="E102" s="129" t="s">
        <v>816</v>
      </c>
      <c r="F102" s="129" t="s">
        <v>1254</v>
      </c>
      <c r="G102" s="129"/>
      <c r="H102" s="129"/>
      <c r="I102" s="129" t="s">
        <v>817</v>
      </c>
      <c r="J102" s="129"/>
      <c r="K102" s="129"/>
      <c r="L102" s="129"/>
      <c r="M102" s="8"/>
      <c r="N102" s="8"/>
      <c r="O102" s="129"/>
      <c r="P102" s="129"/>
      <c r="Q102" s="129"/>
      <c r="R102" s="129"/>
    </row>
    <row r="103" spans="1:18" ht="133.25" customHeight="1">
      <c r="A103" s="129">
        <v>101</v>
      </c>
      <c r="B103" s="143"/>
      <c r="C103" s="135" t="s">
        <v>378</v>
      </c>
      <c r="D103" s="135" t="s">
        <v>379</v>
      </c>
      <c r="E103" s="129" t="s">
        <v>265</v>
      </c>
      <c r="F103" s="129" t="s">
        <v>1178</v>
      </c>
      <c r="G103" s="129"/>
      <c r="H103" s="129"/>
      <c r="I103" s="129" t="s">
        <v>380</v>
      </c>
      <c r="J103" s="129"/>
      <c r="K103" s="129"/>
      <c r="L103" s="129"/>
      <c r="M103" s="8"/>
      <c r="N103" s="8"/>
      <c r="O103" s="129"/>
      <c r="P103" s="129"/>
      <c r="Q103" s="129"/>
      <c r="R103" s="129"/>
    </row>
    <row r="104" spans="1:18" ht="80" customHeight="1">
      <c r="A104" s="129">
        <v>102</v>
      </c>
      <c r="B104" s="129"/>
      <c r="C104" s="129" t="s">
        <v>854</v>
      </c>
      <c r="D104" s="129" t="s">
        <v>855</v>
      </c>
      <c r="E104" s="129" t="s">
        <v>266</v>
      </c>
      <c r="F104" s="129" t="s">
        <v>1265</v>
      </c>
      <c r="G104" s="129"/>
      <c r="H104" s="129"/>
      <c r="I104" s="129" t="s">
        <v>856</v>
      </c>
      <c r="J104" s="129"/>
      <c r="K104" s="129" t="s">
        <v>1266</v>
      </c>
      <c r="L104" s="129"/>
      <c r="M104" s="8"/>
      <c r="N104" s="8"/>
      <c r="O104" s="129"/>
      <c r="P104" s="129"/>
      <c r="Q104" s="129"/>
      <c r="R104" s="129"/>
    </row>
    <row r="105" spans="1:18" ht="186.75" customHeight="1">
      <c r="A105" s="129">
        <v>103</v>
      </c>
      <c r="B105" s="137"/>
      <c r="C105" s="129" t="s">
        <v>1069</v>
      </c>
      <c r="D105" s="129" t="s">
        <v>1070</v>
      </c>
      <c r="E105" s="129" t="s">
        <v>264</v>
      </c>
      <c r="F105" s="129" t="s">
        <v>1324</v>
      </c>
      <c r="G105" s="139"/>
      <c r="H105" s="139" t="s">
        <v>1071</v>
      </c>
      <c r="I105" s="129" t="s">
        <v>1072</v>
      </c>
      <c r="J105" s="129"/>
      <c r="K105" s="129" t="s">
        <v>1073</v>
      </c>
      <c r="L105" s="129"/>
      <c r="M105" s="8"/>
      <c r="N105" s="8"/>
      <c r="O105" s="129"/>
      <c r="P105" s="129"/>
      <c r="Q105" s="129"/>
      <c r="R105" s="129"/>
    </row>
    <row r="106" spans="1:18" ht="80" customHeight="1">
      <c r="A106" s="129">
        <v>104</v>
      </c>
      <c r="B106" s="134" t="s">
        <v>338</v>
      </c>
      <c r="C106" s="129" t="s">
        <v>602</v>
      </c>
      <c r="D106" s="129" t="s">
        <v>1726</v>
      </c>
      <c r="E106" s="129" t="s">
        <v>266</v>
      </c>
      <c r="F106" s="129" t="s">
        <v>1703</v>
      </c>
      <c r="G106" s="129" t="s">
        <v>1775</v>
      </c>
      <c r="H106" s="129" t="s">
        <v>603</v>
      </c>
      <c r="I106" s="129" t="s">
        <v>1776</v>
      </c>
      <c r="J106" s="129" t="s">
        <v>604</v>
      </c>
      <c r="K106" s="129" t="s">
        <v>605</v>
      </c>
      <c r="L106" s="129"/>
      <c r="M106" s="8"/>
      <c r="N106" s="8"/>
      <c r="O106" s="129"/>
      <c r="P106" s="129"/>
      <c r="Q106" s="129"/>
      <c r="R106" s="129"/>
    </row>
    <row r="107" spans="1:18" ht="151" customHeight="1">
      <c r="A107" s="129">
        <v>105</v>
      </c>
      <c r="B107" s="129"/>
      <c r="C107" s="129" t="s">
        <v>381</v>
      </c>
      <c r="D107" s="129" t="s">
        <v>382</v>
      </c>
      <c r="E107" s="129" t="s">
        <v>264</v>
      </c>
      <c r="F107" s="129" t="s">
        <v>1916</v>
      </c>
      <c r="G107" s="129" t="s">
        <v>383</v>
      </c>
      <c r="H107" s="129"/>
      <c r="I107" s="129" t="s">
        <v>1777</v>
      </c>
      <c r="J107" s="129"/>
      <c r="K107" s="129"/>
      <c r="L107" s="129"/>
      <c r="M107" s="8"/>
      <c r="N107" s="8"/>
      <c r="O107" s="129"/>
      <c r="P107" s="129"/>
      <c r="Q107" s="129"/>
      <c r="R107" s="129"/>
    </row>
    <row r="108" spans="1:18" ht="133.25" customHeight="1">
      <c r="A108" s="129">
        <v>106</v>
      </c>
      <c r="B108" s="137"/>
      <c r="C108" s="129" t="s">
        <v>1463</v>
      </c>
      <c r="D108" s="129" t="s">
        <v>1464</v>
      </c>
      <c r="E108" s="129" t="s">
        <v>266</v>
      </c>
      <c r="F108" s="129" t="s">
        <v>1559</v>
      </c>
      <c r="G108" s="129"/>
      <c r="H108" s="129"/>
      <c r="I108" s="129" t="s">
        <v>1664</v>
      </c>
      <c r="J108" s="129"/>
      <c r="K108" s="129" t="s">
        <v>1560</v>
      </c>
      <c r="L108" s="129"/>
      <c r="M108" s="8"/>
      <c r="N108" s="8"/>
      <c r="O108" s="129"/>
      <c r="P108" s="129"/>
      <c r="Q108" s="129"/>
      <c r="R108" s="129"/>
    </row>
    <row r="109" spans="1:18" ht="133.25" customHeight="1">
      <c r="A109" s="129">
        <v>107</v>
      </c>
      <c r="B109" s="137">
        <v>46048</v>
      </c>
      <c r="C109" s="129" t="s">
        <v>1026</v>
      </c>
      <c r="D109" s="129" t="s">
        <v>1314</v>
      </c>
      <c r="E109" s="129" t="s">
        <v>266</v>
      </c>
      <c r="F109" s="129" t="s">
        <v>1917</v>
      </c>
      <c r="G109" s="129"/>
      <c r="H109" s="129" t="s">
        <v>1027</v>
      </c>
      <c r="I109" s="129" t="s">
        <v>1028</v>
      </c>
      <c r="J109" s="129" t="s">
        <v>1375</v>
      </c>
      <c r="K109" s="129" t="s">
        <v>1376</v>
      </c>
      <c r="L109" s="129"/>
      <c r="M109" s="8"/>
      <c r="N109" s="8"/>
      <c r="O109" s="129"/>
      <c r="P109" s="129"/>
      <c r="Q109" s="129"/>
      <c r="R109" s="129"/>
    </row>
    <row r="110" spans="1:18" ht="160" customHeight="1">
      <c r="A110" s="129">
        <v>108</v>
      </c>
      <c r="B110" s="135"/>
      <c r="C110" s="135" t="s">
        <v>901</v>
      </c>
      <c r="D110" s="135" t="s">
        <v>902</v>
      </c>
      <c r="E110" s="129" t="s">
        <v>266</v>
      </c>
      <c r="F110" s="139" t="s">
        <v>1273</v>
      </c>
      <c r="G110" s="129"/>
      <c r="H110" s="129"/>
      <c r="I110" s="129" t="s">
        <v>903</v>
      </c>
      <c r="J110" s="129"/>
      <c r="K110" s="129"/>
      <c r="L110" s="129"/>
      <c r="M110" s="8"/>
      <c r="N110" s="8"/>
      <c r="O110" s="129"/>
      <c r="P110" s="129"/>
      <c r="Q110" s="129"/>
      <c r="R110" s="129"/>
    </row>
    <row r="111" spans="1:18" ht="133.25" customHeight="1">
      <c r="A111" s="129">
        <v>109</v>
      </c>
      <c r="B111" s="137">
        <v>46041</v>
      </c>
      <c r="C111" s="129" t="s">
        <v>996</v>
      </c>
      <c r="D111" s="135" t="s">
        <v>997</v>
      </c>
      <c r="E111" s="129" t="s">
        <v>266</v>
      </c>
      <c r="F111" s="139" t="s">
        <v>1918</v>
      </c>
      <c r="G111" s="129"/>
      <c r="H111" s="129" t="s">
        <v>998</v>
      </c>
      <c r="I111" s="129" t="s">
        <v>999</v>
      </c>
      <c r="J111" s="129" t="s">
        <v>1000</v>
      </c>
      <c r="K111" s="129" t="s">
        <v>1001</v>
      </c>
      <c r="L111" s="129"/>
      <c r="M111" s="8"/>
      <c r="N111" s="8"/>
      <c r="O111" s="129"/>
      <c r="P111" s="129"/>
      <c r="Q111" s="129"/>
      <c r="R111" s="129"/>
    </row>
    <row r="112" spans="1:18" ht="160" customHeight="1">
      <c r="A112" s="129">
        <v>110</v>
      </c>
      <c r="B112" s="134" t="s">
        <v>1665</v>
      </c>
      <c r="C112" s="129" t="s">
        <v>1034</v>
      </c>
      <c r="D112" s="129" t="s">
        <v>1035</v>
      </c>
      <c r="E112" s="129" t="s">
        <v>264</v>
      </c>
      <c r="F112" s="129" t="s">
        <v>1315</v>
      </c>
      <c r="G112" s="129"/>
      <c r="H112" s="129"/>
      <c r="I112" s="129" t="s">
        <v>1036</v>
      </c>
      <c r="J112" s="129"/>
      <c r="K112" s="129"/>
      <c r="L112" s="129"/>
      <c r="M112" s="8"/>
      <c r="N112" s="8"/>
      <c r="O112" s="129"/>
      <c r="P112" s="129"/>
      <c r="Q112" s="129"/>
      <c r="R112" s="129"/>
    </row>
    <row r="113" spans="1:18" ht="186.75" customHeight="1">
      <c r="A113" s="129">
        <v>111</v>
      </c>
      <c r="B113" s="129"/>
      <c r="C113" s="129" t="s">
        <v>640</v>
      </c>
      <c r="D113" s="129" t="s">
        <v>641</v>
      </c>
      <c r="E113" s="129" t="s">
        <v>1539</v>
      </c>
      <c r="F113" s="129" t="s">
        <v>1919</v>
      </c>
      <c r="G113" s="129"/>
      <c r="H113" s="129"/>
      <c r="I113" s="129" t="s">
        <v>642</v>
      </c>
      <c r="J113" s="129"/>
      <c r="K113" s="129"/>
      <c r="L113" s="129"/>
      <c r="M113" s="8"/>
      <c r="N113" s="8"/>
      <c r="O113" s="129"/>
      <c r="P113" s="129"/>
      <c r="Q113" s="129"/>
      <c r="R113" s="129"/>
    </row>
    <row r="114" spans="1:18" ht="160" customHeight="1">
      <c r="A114" s="129">
        <v>112</v>
      </c>
      <c r="B114" s="129"/>
      <c r="C114" s="149" t="s">
        <v>1477</v>
      </c>
      <c r="D114" s="7" t="s">
        <v>1473</v>
      </c>
      <c r="E114" s="10" t="s">
        <v>878</v>
      </c>
      <c r="F114" s="148" t="s">
        <v>1489</v>
      </c>
      <c r="G114" s="19"/>
      <c r="H114" s="129"/>
      <c r="I114" s="19"/>
      <c r="J114" s="129"/>
      <c r="K114" s="140" t="s">
        <v>1487</v>
      </c>
      <c r="L114" s="129"/>
      <c r="M114" s="129"/>
      <c r="N114" s="129"/>
      <c r="O114" s="129"/>
      <c r="P114" s="129"/>
      <c r="Q114" s="129"/>
      <c r="R114" s="129"/>
    </row>
    <row r="115" spans="1:18" ht="151" customHeight="1">
      <c r="A115" s="129">
        <v>113</v>
      </c>
      <c r="B115" s="144"/>
      <c r="C115" s="129" t="s">
        <v>384</v>
      </c>
      <c r="D115" s="129" t="s">
        <v>385</v>
      </c>
      <c r="E115" s="129" t="s">
        <v>264</v>
      </c>
      <c r="F115" s="129" t="s">
        <v>1179</v>
      </c>
      <c r="G115" s="129"/>
      <c r="H115" s="129"/>
      <c r="I115" s="129" t="s">
        <v>386</v>
      </c>
      <c r="J115" s="141"/>
      <c r="K115" s="18"/>
      <c r="L115" s="129"/>
      <c r="M115" s="129"/>
      <c r="N115" s="129"/>
      <c r="O115" s="129"/>
      <c r="P115" s="129"/>
      <c r="Q115" s="129"/>
      <c r="R115" s="129"/>
    </row>
    <row r="116" spans="1:18" ht="133.25" customHeight="1">
      <c r="A116" s="129">
        <v>114</v>
      </c>
      <c r="B116" s="137">
        <v>46050</v>
      </c>
      <c r="C116" s="129" t="s">
        <v>655</v>
      </c>
      <c r="D116" s="7" t="s">
        <v>656</v>
      </c>
      <c r="E116" s="129" t="s">
        <v>266</v>
      </c>
      <c r="F116" s="12" t="s">
        <v>1229</v>
      </c>
      <c r="G116" s="129" t="s">
        <v>1356</v>
      </c>
      <c r="H116" s="129"/>
      <c r="I116" s="193" t="s">
        <v>1778</v>
      </c>
      <c r="J116" s="129" t="s">
        <v>657</v>
      </c>
      <c r="K116" s="129" t="s">
        <v>658</v>
      </c>
      <c r="L116" s="129"/>
      <c r="M116" s="129"/>
      <c r="N116" s="129"/>
      <c r="O116" s="129"/>
      <c r="P116" s="129"/>
      <c r="Q116" s="129"/>
      <c r="R116" s="129"/>
    </row>
    <row r="117" spans="1:18" ht="106.75" customHeight="1">
      <c r="A117" s="129">
        <v>115</v>
      </c>
      <c r="B117" s="137">
        <v>46048</v>
      </c>
      <c r="C117" s="129" t="s">
        <v>387</v>
      </c>
      <c r="D117" s="129" t="s">
        <v>388</v>
      </c>
      <c r="E117" s="129" t="s">
        <v>266</v>
      </c>
      <c r="F117" s="139" t="s">
        <v>1180</v>
      </c>
      <c r="G117" s="129" t="s">
        <v>389</v>
      </c>
      <c r="H117" s="129"/>
      <c r="I117" s="129" t="s">
        <v>390</v>
      </c>
      <c r="J117" s="129" t="s">
        <v>391</v>
      </c>
      <c r="K117" s="129" t="s">
        <v>392</v>
      </c>
      <c r="L117" s="129"/>
      <c r="M117" s="129"/>
      <c r="N117" s="129"/>
      <c r="O117" s="129"/>
      <c r="P117" s="129"/>
      <c r="Q117" s="129"/>
      <c r="R117" s="129"/>
    </row>
    <row r="118" spans="1:18" ht="160" customHeight="1">
      <c r="A118" s="129">
        <v>116</v>
      </c>
      <c r="B118" s="137"/>
      <c r="C118" s="129" t="s">
        <v>393</v>
      </c>
      <c r="D118" s="129" t="s">
        <v>394</v>
      </c>
      <c r="E118" s="129" t="s">
        <v>266</v>
      </c>
      <c r="F118" s="129" t="s">
        <v>1181</v>
      </c>
      <c r="G118" s="129" t="s">
        <v>1779</v>
      </c>
      <c r="H118" s="129"/>
      <c r="I118" s="129" t="s">
        <v>1780</v>
      </c>
      <c r="J118" s="129"/>
      <c r="K118" s="140" t="s">
        <v>395</v>
      </c>
      <c r="L118" s="129"/>
      <c r="M118" s="129"/>
      <c r="N118" s="129"/>
      <c r="O118" s="129"/>
      <c r="P118" s="129"/>
      <c r="Q118" s="129"/>
      <c r="R118" s="129"/>
    </row>
    <row r="119" spans="1:18" ht="266.75" customHeight="1">
      <c r="A119" s="129">
        <v>117</v>
      </c>
      <c r="B119" s="145"/>
      <c r="C119" s="145" t="s">
        <v>924</v>
      </c>
      <c r="D119" s="145" t="s">
        <v>1284</v>
      </c>
      <c r="E119" s="145" t="s">
        <v>266</v>
      </c>
      <c r="F119" s="145" t="s">
        <v>1285</v>
      </c>
      <c r="G119" s="145" t="s">
        <v>925</v>
      </c>
      <c r="H119" s="145"/>
      <c r="I119" s="145" t="s">
        <v>926</v>
      </c>
      <c r="J119" s="145"/>
      <c r="K119" s="145"/>
      <c r="L119" s="145"/>
      <c r="M119" s="145"/>
      <c r="N119" s="145"/>
      <c r="O119" s="145"/>
      <c r="P119" s="145"/>
      <c r="Q119" s="129"/>
      <c r="R119" s="129"/>
    </row>
    <row r="120" spans="1:18" ht="106.75" customHeight="1">
      <c r="A120" s="129">
        <v>118</v>
      </c>
      <c r="B120" s="129"/>
      <c r="C120" s="156" t="s">
        <v>1452</v>
      </c>
      <c r="D120" s="129" t="s">
        <v>1607</v>
      </c>
      <c r="E120" s="129" t="s">
        <v>1539</v>
      </c>
      <c r="F120" s="13" t="s">
        <v>1608</v>
      </c>
      <c r="G120" s="129" t="s">
        <v>396</v>
      </c>
      <c r="H120" s="129"/>
      <c r="I120" s="140" t="s">
        <v>397</v>
      </c>
      <c r="J120" s="129"/>
      <c r="K120" s="14"/>
      <c r="L120" s="129"/>
      <c r="M120" s="129"/>
      <c r="N120" s="129"/>
      <c r="O120" s="129"/>
      <c r="P120" s="129"/>
      <c r="Q120" s="129"/>
      <c r="R120" s="129"/>
    </row>
    <row r="121" spans="1:18" ht="106.75" customHeight="1">
      <c r="A121" s="129">
        <v>119</v>
      </c>
      <c r="B121" s="129"/>
      <c r="C121" s="156" t="s">
        <v>888</v>
      </c>
      <c r="D121" s="129" t="s">
        <v>889</v>
      </c>
      <c r="E121" s="129" t="s">
        <v>266</v>
      </c>
      <c r="F121" s="13" t="s">
        <v>1272</v>
      </c>
      <c r="G121" s="129"/>
      <c r="H121" s="129"/>
      <c r="I121" s="148" t="s">
        <v>890</v>
      </c>
      <c r="J121" s="129"/>
      <c r="K121" s="14"/>
      <c r="L121" s="129"/>
      <c r="M121" s="129"/>
      <c r="N121" s="129"/>
      <c r="O121" s="129"/>
      <c r="P121" s="129"/>
      <c r="Q121" s="129"/>
      <c r="R121" s="129"/>
    </row>
    <row r="122" spans="1:18" ht="160" customHeight="1">
      <c r="A122" s="129">
        <v>120</v>
      </c>
      <c r="B122" s="137"/>
      <c r="C122" s="141"/>
      <c r="D122" s="11" t="s">
        <v>1095</v>
      </c>
      <c r="E122" s="129" t="s">
        <v>265</v>
      </c>
      <c r="F122" s="12" t="s">
        <v>1096</v>
      </c>
      <c r="G122" s="129"/>
      <c r="H122" s="129"/>
      <c r="I122" s="155" t="s">
        <v>1097</v>
      </c>
      <c r="J122" s="129"/>
      <c r="K122" s="151" t="s">
        <v>1098</v>
      </c>
      <c r="L122" s="129"/>
      <c r="M122" s="129"/>
      <c r="N122" s="129"/>
      <c r="O122" s="129"/>
      <c r="P122" s="129"/>
      <c r="Q122" s="129"/>
      <c r="R122" s="129"/>
    </row>
    <row r="123" spans="1:18" ht="160" customHeight="1">
      <c r="A123" s="129">
        <v>121</v>
      </c>
      <c r="B123" s="129"/>
      <c r="C123" s="129" t="s">
        <v>1465</v>
      </c>
      <c r="D123" s="129" t="s">
        <v>1466</v>
      </c>
      <c r="E123" s="129" t="s">
        <v>266</v>
      </c>
      <c r="F123" s="129" t="s">
        <v>1666</v>
      </c>
      <c r="G123" s="129"/>
      <c r="H123" s="129"/>
      <c r="I123" s="129" t="s">
        <v>1467</v>
      </c>
      <c r="J123" s="129"/>
      <c r="K123" s="140" t="s">
        <v>1561</v>
      </c>
      <c r="L123" s="129"/>
      <c r="M123" s="129"/>
      <c r="N123" s="129"/>
      <c r="O123" s="129"/>
      <c r="P123" s="129"/>
      <c r="Q123" s="129"/>
      <c r="R123" s="129"/>
    </row>
    <row r="124" spans="1:18" ht="106.75" customHeight="1">
      <c r="A124" s="129">
        <v>122</v>
      </c>
      <c r="B124" s="129"/>
      <c r="C124" s="129" t="s">
        <v>1080</v>
      </c>
      <c r="D124" s="129" t="s">
        <v>1081</v>
      </c>
      <c r="E124" s="129" t="s">
        <v>266</v>
      </c>
      <c r="F124" s="129" t="s">
        <v>1325</v>
      </c>
      <c r="G124" s="129"/>
      <c r="H124" s="129"/>
      <c r="I124" s="129" t="s">
        <v>1082</v>
      </c>
      <c r="J124" s="129" t="s">
        <v>1732</v>
      </c>
      <c r="K124" s="129" t="s">
        <v>1535</v>
      </c>
      <c r="L124" s="129"/>
      <c r="M124" s="129"/>
      <c r="N124" s="129"/>
      <c r="O124" s="129"/>
      <c r="P124" s="129"/>
      <c r="Q124" s="129"/>
      <c r="R124" s="129"/>
    </row>
    <row r="125" spans="1:18" ht="133.25" customHeight="1">
      <c r="A125" s="129">
        <v>123</v>
      </c>
      <c r="B125" s="129"/>
      <c r="C125" s="129" t="s">
        <v>1182</v>
      </c>
      <c r="D125" s="135" t="s">
        <v>1183</v>
      </c>
      <c r="E125" s="129" t="s">
        <v>266</v>
      </c>
      <c r="F125" s="129" t="s">
        <v>1540</v>
      </c>
      <c r="G125" s="129" t="s">
        <v>398</v>
      </c>
      <c r="H125" s="129"/>
      <c r="I125" s="129" t="s">
        <v>1781</v>
      </c>
      <c r="J125" s="129"/>
      <c r="K125" s="129" t="s">
        <v>1667</v>
      </c>
      <c r="L125" s="23" t="s">
        <v>399</v>
      </c>
      <c r="M125" s="23" t="s">
        <v>400</v>
      </c>
      <c r="N125" s="129"/>
      <c r="O125" s="129"/>
      <c r="P125" s="129"/>
      <c r="Q125" s="129"/>
      <c r="R125" s="129"/>
    </row>
    <row r="126" spans="1:18" ht="106.75" customHeight="1">
      <c r="A126" s="129">
        <v>124</v>
      </c>
      <c r="B126" s="137"/>
      <c r="C126" s="129" t="s">
        <v>401</v>
      </c>
      <c r="D126" s="129" t="s">
        <v>402</v>
      </c>
      <c r="E126" s="129" t="s">
        <v>265</v>
      </c>
      <c r="F126" s="129" t="s">
        <v>1184</v>
      </c>
      <c r="G126" s="129" t="s">
        <v>403</v>
      </c>
      <c r="H126" s="129"/>
      <c r="I126" s="129" t="s">
        <v>404</v>
      </c>
      <c r="J126" s="129" t="s">
        <v>405</v>
      </c>
      <c r="K126" s="129" t="s">
        <v>363</v>
      </c>
      <c r="L126" s="129"/>
      <c r="M126" s="129"/>
      <c r="N126" s="129"/>
      <c r="O126" s="129"/>
      <c r="P126" s="129"/>
      <c r="Q126" s="129"/>
      <c r="R126" s="129"/>
    </row>
    <row r="127" spans="1:18" ht="160" customHeight="1">
      <c r="A127" s="129">
        <v>125</v>
      </c>
      <c r="B127" s="129"/>
      <c r="C127" s="129" t="s">
        <v>689</v>
      </c>
      <c r="D127" s="129" t="s">
        <v>690</v>
      </c>
      <c r="E127" s="129" t="s">
        <v>264</v>
      </c>
      <c r="F127" s="129" t="s">
        <v>1544</v>
      </c>
      <c r="G127" s="129" t="s">
        <v>691</v>
      </c>
      <c r="H127" s="129"/>
      <c r="I127" s="129" t="s">
        <v>692</v>
      </c>
      <c r="J127" s="129"/>
      <c r="K127" s="129" t="s">
        <v>693</v>
      </c>
      <c r="L127" s="129"/>
      <c r="M127" s="129"/>
      <c r="N127" s="129"/>
      <c r="O127" s="129"/>
      <c r="P127" s="129"/>
      <c r="Q127" s="129"/>
      <c r="R127" s="129"/>
    </row>
    <row r="128" spans="1:18" ht="213.25" customHeight="1">
      <c r="A128" s="129">
        <v>126</v>
      </c>
      <c r="B128" s="137"/>
      <c r="C128" s="129" t="s">
        <v>406</v>
      </c>
      <c r="D128" s="129" t="s">
        <v>1185</v>
      </c>
      <c r="E128" s="135" t="s">
        <v>1539</v>
      </c>
      <c r="F128" s="129" t="s">
        <v>407</v>
      </c>
      <c r="G128" s="129" t="s">
        <v>408</v>
      </c>
      <c r="H128" s="129"/>
      <c r="I128" s="129" t="s">
        <v>409</v>
      </c>
      <c r="J128" s="129"/>
      <c r="K128" s="129" t="s">
        <v>1493</v>
      </c>
      <c r="L128" s="129"/>
      <c r="M128" s="129"/>
      <c r="N128" s="129"/>
      <c r="O128" s="129"/>
      <c r="P128" s="129"/>
      <c r="Q128" s="129"/>
      <c r="R128" s="129"/>
    </row>
    <row r="129" spans="1:18" ht="213.25" customHeight="1">
      <c r="A129" s="129">
        <v>127</v>
      </c>
      <c r="B129" s="129"/>
      <c r="C129" s="129" t="s">
        <v>410</v>
      </c>
      <c r="D129" s="129" t="s">
        <v>411</v>
      </c>
      <c r="E129" s="129" t="s">
        <v>1539</v>
      </c>
      <c r="F129" s="129" t="s">
        <v>1186</v>
      </c>
      <c r="G129" s="129" t="s">
        <v>412</v>
      </c>
      <c r="H129" s="129"/>
      <c r="I129" s="129" t="s">
        <v>413</v>
      </c>
      <c r="J129" s="129"/>
      <c r="K129" s="129"/>
      <c r="L129" s="129"/>
      <c r="M129" s="129"/>
      <c r="N129" s="129"/>
      <c r="O129" s="129"/>
      <c r="P129" s="129"/>
      <c r="Q129" s="129"/>
      <c r="R129" s="129"/>
    </row>
    <row r="130" spans="1:18" ht="266.75" customHeight="1">
      <c r="A130" s="129">
        <v>128</v>
      </c>
      <c r="B130" s="137"/>
      <c r="C130" s="129" t="s">
        <v>586</v>
      </c>
      <c r="D130" s="135" t="s">
        <v>587</v>
      </c>
      <c r="E130" s="129" t="s">
        <v>264</v>
      </c>
      <c r="F130" s="129" t="s">
        <v>1222</v>
      </c>
      <c r="G130" s="129" t="s">
        <v>588</v>
      </c>
      <c r="H130" s="129"/>
      <c r="I130" s="129" t="s">
        <v>589</v>
      </c>
      <c r="J130" s="129"/>
      <c r="K130" s="129"/>
      <c r="L130" s="129"/>
      <c r="M130" s="129"/>
      <c r="N130" s="129"/>
      <c r="O130" s="129"/>
      <c r="P130" s="129"/>
      <c r="Q130" s="129"/>
      <c r="R130" s="129"/>
    </row>
    <row r="131" spans="1:18" ht="186.75" customHeight="1">
      <c r="A131" s="129">
        <v>129</v>
      </c>
      <c r="B131" s="144" t="s">
        <v>423</v>
      </c>
      <c r="C131" s="129"/>
      <c r="D131" s="129" t="s">
        <v>424</v>
      </c>
      <c r="E131" s="129" t="s">
        <v>265</v>
      </c>
      <c r="F131" s="129" t="s">
        <v>1424</v>
      </c>
      <c r="G131" s="129" t="s">
        <v>425</v>
      </c>
      <c r="H131" s="129" t="s">
        <v>426</v>
      </c>
      <c r="I131" s="129" t="s">
        <v>427</v>
      </c>
      <c r="J131" s="129" t="s">
        <v>428</v>
      </c>
      <c r="K131" s="129" t="s">
        <v>429</v>
      </c>
      <c r="L131" s="129"/>
      <c r="M131" s="129"/>
      <c r="N131" s="129"/>
      <c r="O131" s="129"/>
      <c r="P131" s="129"/>
      <c r="Q131" s="129"/>
      <c r="R131" s="129"/>
    </row>
    <row r="132" spans="1:18" ht="80" customHeight="1">
      <c r="A132" s="129">
        <v>130</v>
      </c>
      <c r="B132" s="137"/>
      <c r="C132" s="129" t="s">
        <v>414</v>
      </c>
      <c r="D132" s="129" t="s">
        <v>1187</v>
      </c>
      <c r="E132" s="129" t="s">
        <v>265</v>
      </c>
      <c r="F132" s="129" t="s">
        <v>1188</v>
      </c>
      <c r="G132" s="129" t="s">
        <v>415</v>
      </c>
      <c r="H132" s="129"/>
      <c r="I132" s="129"/>
      <c r="J132" s="129"/>
      <c r="K132" s="129"/>
      <c r="L132" s="129"/>
      <c r="M132" s="129"/>
      <c r="N132" s="129"/>
      <c r="O132" s="129"/>
      <c r="P132" s="129"/>
      <c r="Q132" s="129"/>
      <c r="R132" s="129"/>
    </row>
    <row r="133" spans="1:18" ht="133.25" customHeight="1">
      <c r="A133" s="129">
        <v>131</v>
      </c>
      <c r="B133" s="137"/>
      <c r="C133" s="129" t="s">
        <v>416</v>
      </c>
      <c r="D133" s="129" t="s">
        <v>417</v>
      </c>
      <c r="E133" s="129" t="s">
        <v>265</v>
      </c>
      <c r="F133" s="139" t="s">
        <v>1344</v>
      </c>
      <c r="G133" s="129" t="s">
        <v>418</v>
      </c>
      <c r="H133" s="129"/>
      <c r="I133" s="129" t="s">
        <v>419</v>
      </c>
      <c r="J133" s="129"/>
      <c r="K133" s="129"/>
      <c r="L133" s="129"/>
      <c r="M133" s="129"/>
      <c r="N133" s="129"/>
      <c r="O133" s="129"/>
      <c r="P133" s="129"/>
      <c r="Q133" s="129"/>
      <c r="R133" s="129"/>
    </row>
    <row r="134" spans="1:18" ht="160" customHeight="1">
      <c r="A134" s="129">
        <v>132</v>
      </c>
      <c r="B134" s="129"/>
      <c r="C134" s="129" t="s">
        <v>420</v>
      </c>
      <c r="D134" s="129" t="s">
        <v>421</v>
      </c>
      <c r="E134" s="129" t="s">
        <v>1539</v>
      </c>
      <c r="F134" s="129" t="s">
        <v>1423</v>
      </c>
      <c r="G134" s="129" t="s">
        <v>422</v>
      </c>
      <c r="H134" s="129"/>
      <c r="I134" s="129" t="s">
        <v>1782</v>
      </c>
      <c r="J134" s="129"/>
      <c r="K134" s="129"/>
      <c r="L134" s="129"/>
      <c r="M134" s="129"/>
      <c r="N134" s="129"/>
      <c r="O134" s="129"/>
      <c r="P134" s="129"/>
      <c r="Q134" s="129"/>
      <c r="R134" s="129"/>
    </row>
    <row r="135" spans="1:18" ht="160" customHeight="1">
      <c r="A135" s="129">
        <v>133</v>
      </c>
      <c r="B135" s="129"/>
      <c r="C135" s="129" t="s">
        <v>849</v>
      </c>
      <c r="D135" s="129" t="s">
        <v>850</v>
      </c>
      <c r="E135" s="129" t="s">
        <v>837</v>
      </c>
      <c r="F135" s="129" t="s">
        <v>851</v>
      </c>
      <c r="G135" s="129"/>
      <c r="H135" s="129"/>
      <c r="I135" s="129" t="s">
        <v>852</v>
      </c>
      <c r="J135" s="129"/>
      <c r="K135" s="129"/>
      <c r="L135" s="129"/>
      <c r="M135" s="129"/>
      <c r="N135" s="129"/>
      <c r="O135" s="129"/>
      <c r="P135" s="129"/>
      <c r="Q135" s="129"/>
      <c r="R135" s="129"/>
    </row>
    <row r="136" spans="1:18" ht="133.25" customHeight="1">
      <c r="A136" s="129">
        <v>134</v>
      </c>
      <c r="B136" s="129"/>
      <c r="C136" s="129" t="s">
        <v>1552</v>
      </c>
      <c r="D136" s="129" t="s">
        <v>1499</v>
      </c>
      <c r="E136" s="129" t="s">
        <v>1539</v>
      </c>
      <c r="F136" s="129" t="s">
        <v>1553</v>
      </c>
      <c r="G136" s="129" t="s">
        <v>1503</v>
      </c>
      <c r="H136" s="129"/>
      <c r="I136" s="129" t="s">
        <v>1783</v>
      </c>
      <c r="J136" s="129"/>
      <c r="K136" s="129" t="s">
        <v>1502</v>
      </c>
      <c r="L136" s="129"/>
      <c r="M136" s="129"/>
      <c r="N136" s="129"/>
      <c r="O136" s="129"/>
      <c r="P136" s="129"/>
      <c r="Q136" s="129"/>
      <c r="R136" s="129"/>
    </row>
    <row r="137" spans="1:18" ht="133.25" customHeight="1">
      <c r="A137" s="129">
        <v>135</v>
      </c>
      <c r="B137" s="137">
        <v>46050</v>
      </c>
      <c r="C137" s="129"/>
      <c r="D137" s="129" t="s">
        <v>430</v>
      </c>
      <c r="E137" s="129" t="s">
        <v>265</v>
      </c>
      <c r="F137" s="129" t="s">
        <v>1189</v>
      </c>
      <c r="G137" s="129" t="s">
        <v>1920</v>
      </c>
      <c r="H137" s="129"/>
      <c r="I137" s="129" t="s">
        <v>1784</v>
      </c>
      <c r="J137" s="129" t="s">
        <v>431</v>
      </c>
      <c r="K137" s="129" t="s">
        <v>432</v>
      </c>
      <c r="L137" s="129"/>
      <c r="M137" s="129"/>
      <c r="N137" s="129"/>
      <c r="O137" s="129"/>
      <c r="P137" s="129"/>
      <c r="Q137" s="129"/>
      <c r="R137" s="129"/>
    </row>
    <row r="138" spans="1:18" ht="160" customHeight="1">
      <c r="A138" s="129">
        <v>136</v>
      </c>
      <c r="B138" s="129"/>
      <c r="C138" s="129"/>
      <c r="D138" s="129" t="s">
        <v>1190</v>
      </c>
      <c r="E138" s="129" t="s">
        <v>265</v>
      </c>
      <c r="F138" s="129" t="s">
        <v>1191</v>
      </c>
      <c r="G138" s="129" t="s">
        <v>433</v>
      </c>
      <c r="H138" s="129"/>
      <c r="I138" s="129" t="s">
        <v>434</v>
      </c>
      <c r="J138" s="129"/>
      <c r="K138" s="129"/>
      <c r="L138" s="129"/>
      <c r="M138" s="129"/>
      <c r="N138" s="129"/>
      <c r="O138" s="129"/>
      <c r="P138" s="129"/>
      <c r="Q138" s="129"/>
      <c r="R138" s="129"/>
    </row>
    <row r="139" spans="1:18" ht="133.25" customHeight="1">
      <c r="A139" s="129">
        <v>137</v>
      </c>
      <c r="B139" s="129"/>
      <c r="C139" s="129"/>
      <c r="D139" s="129" t="s">
        <v>1474</v>
      </c>
      <c r="E139" s="135" t="s">
        <v>878</v>
      </c>
      <c r="F139" s="129" t="s">
        <v>1485</v>
      </c>
      <c r="G139" s="129"/>
      <c r="H139" s="129"/>
      <c r="I139" s="129"/>
      <c r="J139" s="129"/>
      <c r="K139" s="129" t="s">
        <v>1488</v>
      </c>
      <c r="L139" s="129"/>
      <c r="M139" s="129"/>
      <c r="N139" s="129"/>
      <c r="O139" s="129"/>
      <c r="P139" s="129"/>
      <c r="Q139" s="129"/>
      <c r="R139" s="129"/>
    </row>
    <row r="140" spans="1:18" ht="106.75" customHeight="1">
      <c r="A140" s="129">
        <v>138</v>
      </c>
      <c r="B140" s="129"/>
      <c r="C140" s="129" t="s">
        <v>825</v>
      </c>
      <c r="D140" s="135" t="s">
        <v>826</v>
      </c>
      <c r="E140" s="129" t="s">
        <v>264</v>
      </c>
      <c r="F140" s="129" t="s">
        <v>1256</v>
      </c>
      <c r="G140" s="129" t="s">
        <v>827</v>
      </c>
      <c r="H140" s="129"/>
      <c r="I140" s="129" t="s">
        <v>828</v>
      </c>
      <c r="J140" s="129"/>
      <c r="K140" s="129"/>
      <c r="L140" s="129"/>
      <c r="M140" s="129"/>
      <c r="N140" s="129"/>
      <c r="O140" s="129"/>
      <c r="P140" s="129"/>
      <c r="Q140" s="129"/>
      <c r="R140" s="129"/>
    </row>
    <row r="141" spans="1:18" ht="106.75" customHeight="1">
      <c r="A141" s="129">
        <v>139</v>
      </c>
      <c r="B141" s="137"/>
      <c r="C141" s="129"/>
      <c r="D141" s="135" t="s">
        <v>435</v>
      </c>
      <c r="E141" s="129" t="s">
        <v>265</v>
      </c>
      <c r="F141" s="129" t="s">
        <v>1192</v>
      </c>
      <c r="G141" s="7" t="s">
        <v>436</v>
      </c>
      <c r="H141" s="129"/>
      <c r="I141" s="129" t="s">
        <v>437</v>
      </c>
      <c r="J141" s="129"/>
      <c r="K141" s="129"/>
      <c r="L141" s="129"/>
      <c r="M141" s="129"/>
      <c r="N141" s="129"/>
      <c r="O141" s="129"/>
      <c r="P141" s="129"/>
      <c r="Q141" s="129"/>
      <c r="R141" s="129"/>
    </row>
    <row r="142" spans="1:18" ht="133.25" customHeight="1">
      <c r="A142" s="129">
        <v>140</v>
      </c>
      <c r="B142" s="137"/>
      <c r="C142" s="129" t="s">
        <v>860</v>
      </c>
      <c r="D142" s="129" t="s">
        <v>861</v>
      </c>
      <c r="E142" s="129" t="s">
        <v>266</v>
      </c>
      <c r="F142" s="129" t="s">
        <v>862</v>
      </c>
      <c r="G142" s="129" t="s">
        <v>863</v>
      </c>
      <c r="H142" s="129"/>
      <c r="I142" s="129" t="s">
        <v>864</v>
      </c>
      <c r="J142" s="129"/>
      <c r="K142" s="129"/>
      <c r="L142" s="129"/>
      <c r="M142" s="129"/>
      <c r="N142" s="129"/>
      <c r="O142" s="129"/>
      <c r="P142" s="129"/>
      <c r="Q142" s="129"/>
      <c r="R142" s="129"/>
    </row>
    <row r="143" spans="1:18" ht="266.75" customHeight="1">
      <c r="A143" s="129">
        <v>141</v>
      </c>
      <c r="B143" s="129"/>
      <c r="C143" s="129" t="s">
        <v>797</v>
      </c>
      <c r="D143" s="129" t="s">
        <v>1363</v>
      </c>
      <c r="E143" s="129" t="s">
        <v>265</v>
      </c>
      <c r="F143" s="129" t="s">
        <v>1921</v>
      </c>
      <c r="G143" s="129"/>
      <c r="H143" s="129"/>
      <c r="I143" s="129" t="s">
        <v>1492</v>
      </c>
      <c r="J143" s="129"/>
      <c r="K143" s="129" t="s">
        <v>1364</v>
      </c>
      <c r="L143" s="129"/>
      <c r="M143" s="129"/>
      <c r="N143" s="129"/>
      <c r="O143" s="129"/>
      <c r="P143" s="129"/>
      <c r="Q143" s="129"/>
      <c r="R143" s="129"/>
    </row>
    <row r="144" spans="1:18" ht="106.75" customHeight="1">
      <c r="A144" s="129">
        <v>142</v>
      </c>
      <c r="B144" s="129"/>
      <c r="C144" s="129" t="s">
        <v>438</v>
      </c>
      <c r="D144" s="135" t="s">
        <v>439</v>
      </c>
      <c r="E144" s="129" t="s">
        <v>1539</v>
      </c>
      <c r="F144" s="139" t="s">
        <v>1922</v>
      </c>
      <c r="G144" s="129" t="s">
        <v>440</v>
      </c>
      <c r="H144" s="129"/>
      <c r="I144" s="129" t="s">
        <v>1345</v>
      </c>
      <c r="J144" s="129" t="s">
        <v>1346</v>
      </c>
      <c r="K144" s="129" t="s">
        <v>1347</v>
      </c>
      <c r="L144" s="129"/>
      <c r="M144" s="129"/>
      <c r="N144" s="129"/>
      <c r="O144" s="129"/>
      <c r="P144" s="129"/>
      <c r="Q144" s="129"/>
      <c r="R144" s="129"/>
    </row>
    <row r="145" spans="1:18" ht="186.75" customHeight="1">
      <c r="A145" s="129">
        <v>143</v>
      </c>
      <c r="B145" s="137"/>
      <c r="C145" s="129"/>
      <c r="D145" s="135" t="s">
        <v>441</v>
      </c>
      <c r="E145" s="129" t="s">
        <v>265</v>
      </c>
      <c r="F145" s="129" t="s">
        <v>442</v>
      </c>
      <c r="G145" s="129" t="s">
        <v>443</v>
      </c>
      <c r="H145" s="129"/>
      <c r="I145" s="129" t="s">
        <v>444</v>
      </c>
      <c r="J145" s="129"/>
      <c r="K145" s="129"/>
      <c r="L145" s="129"/>
      <c r="M145" s="129"/>
      <c r="N145" s="129"/>
      <c r="O145" s="129"/>
      <c r="P145" s="129"/>
      <c r="Q145" s="129"/>
      <c r="R145" s="129"/>
    </row>
    <row r="146" spans="1:18" ht="186.75" customHeight="1">
      <c r="A146" s="129">
        <v>144</v>
      </c>
      <c r="B146" s="142"/>
      <c r="C146" s="135"/>
      <c r="D146" s="135" t="s">
        <v>445</v>
      </c>
      <c r="E146" s="129" t="s">
        <v>264</v>
      </c>
      <c r="F146" s="8" t="s">
        <v>446</v>
      </c>
      <c r="G146" s="129" t="s">
        <v>447</v>
      </c>
      <c r="H146" s="129"/>
      <c r="I146" s="129" t="s">
        <v>1530</v>
      </c>
      <c r="J146" s="154"/>
      <c r="K146" s="129"/>
      <c r="L146" s="129"/>
      <c r="M146" s="129"/>
      <c r="N146" s="129"/>
      <c r="O146" s="129"/>
      <c r="P146" s="129"/>
      <c r="Q146" s="129"/>
      <c r="R146" s="129"/>
    </row>
    <row r="147" spans="1:18" ht="160" customHeight="1">
      <c r="A147" s="129">
        <v>145</v>
      </c>
      <c r="B147" s="129"/>
      <c r="C147" s="129" t="s">
        <v>846</v>
      </c>
      <c r="D147" s="129" t="s">
        <v>847</v>
      </c>
      <c r="E147" s="129" t="s">
        <v>266</v>
      </c>
      <c r="F147" s="129" t="s">
        <v>1261</v>
      </c>
      <c r="G147" s="129"/>
      <c r="H147" s="129"/>
      <c r="I147" s="129" t="s">
        <v>848</v>
      </c>
      <c r="J147" s="129"/>
      <c r="K147" s="129"/>
      <c r="L147" s="129"/>
      <c r="M147" s="129"/>
      <c r="N147" s="129"/>
      <c r="O147" s="129"/>
      <c r="P147" s="129"/>
      <c r="Q147" s="129"/>
      <c r="R147" s="129"/>
    </row>
    <row r="148" spans="1:18" ht="133.25" customHeight="1">
      <c r="A148" s="129">
        <v>146</v>
      </c>
      <c r="B148" s="144"/>
      <c r="C148" s="129"/>
      <c r="D148" s="129" t="s">
        <v>448</v>
      </c>
      <c r="E148" s="129" t="s">
        <v>265</v>
      </c>
      <c r="F148" s="129" t="s">
        <v>449</v>
      </c>
      <c r="G148" s="129"/>
      <c r="H148" s="129"/>
      <c r="I148" s="129" t="s">
        <v>450</v>
      </c>
      <c r="J148" s="129"/>
      <c r="K148" s="129"/>
      <c r="L148" s="129"/>
      <c r="M148" s="129"/>
      <c r="N148" s="129"/>
      <c r="O148" s="129"/>
      <c r="P148" s="129"/>
      <c r="Q148" s="129"/>
      <c r="R148" s="129"/>
    </row>
    <row r="149" spans="1:18" ht="160" customHeight="1">
      <c r="A149" s="129">
        <v>147</v>
      </c>
      <c r="B149" s="129"/>
      <c r="C149" s="129" t="s">
        <v>1461</v>
      </c>
      <c r="D149" s="135" t="s">
        <v>1462</v>
      </c>
      <c r="E149" s="129" t="s">
        <v>1539</v>
      </c>
      <c r="F149" s="129" t="s">
        <v>1562</v>
      </c>
      <c r="G149" s="129"/>
      <c r="H149" s="129"/>
      <c r="I149" s="129"/>
      <c r="J149" s="129"/>
      <c r="K149" s="129" t="s">
        <v>1563</v>
      </c>
      <c r="L149" s="129"/>
      <c r="M149" s="129"/>
      <c r="N149" s="129"/>
      <c r="O149" s="129"/>
      <c r="P149" s="129"/>
      <c r="Q149" s="129"/>
      <c r="R149" s="129"/>
    </row>
    <row r="150" spans="1:18" ht="133.25" customHeight="1">
      <c r="A150" s="129">
        <v>148</v>
      </c>
      <c r="B150" s="129"/>
      <c r="C150" s="129"/>
      <c r="D150" s="129" t="s">
        <v>1472</v>
      </c>
      <c r="E150" s="129" t="s">
        <v>878</v>
      </c>
      <c r="F150" s="129" t="s">
        <v>1476</v>
      </c>
      <c r="G150" s="129"/>
      <c r="H150" s="129"/>
      <c r="I150" s="129"/>
      <c r="J150" s="129"/>
      <c r="K150" s="129" t="s">
        <v>1486</v>
      </c>
      <c r="L150" s="129"/>
      <c r="M150" s="129"/>
      <c r="N150" s="129"/>
      <c r="O150" s="129"/>
      <c r="P150" s="129"/>
      <c r="Q150" s="129"/>
      <c r="R150" s="129"/>
    </row>
    <row r="151" spans="1:18" ht="133.25" customHeight="1">
      <c r="A151" s="129">
        <v>149</v>
      </c>
      <c r="B151" s="129"/>
      <c r="C151" s="129" t="s">
        <v>910</v>
      </c>
      <c r="D151" s="129" t="s">
        <v>911</v>
      </c>
      <c r="E151" s="129" t="s">
        <v>579</v>
      </c>
      <c r="F151" s="129" t="s">
        <v>1278</v>
      </c>
      <c r="G151" s="129"/>
      <c r="H151" s="129"/>
      <c r="I151" s="129" t="s">
        <v>912</v>
      </c>
      <c r="J151" s="154"/>
      <c r="K151" s="154"/>
      <c r="L151" s="129"/>
      <c r="M151" s="129"/>
      <c r="N151" s="129"/>
      <c r="O151" s="129"/>
      <c r="P151" s="129"/>
      <c r="Q151" s="129"/>
      <c r="R151" s="129"/>
    </row>
    <row r="152" spans="1:18" ht="186.75" customHeight="1">
      <c r="A152" s="129">
        <v>150</v>
      </c>
      <c r="B152" s="129"/>
      <c r="C152" s="129"/>
      <c r="D152" s="135" t="s">
        <v>1482</v>
      </c>
      <c r="E152" s="129" t="s">
        <v>1539</v>
      </c>
      <c r="F152" s="129" t="s">
        <v>1483</v>
      </c>
      <c r="G152" s="139"/>
      <c r="H152" s="139"/>
      <c r="I152" s="129"/>
      <c r="J152" s="129"/>
      <c r="K152" s="129" t="s">
        <v>1484</v>
      </c>
      <c r="L152" s="129"/>
      <c r="M152" s="129"/>
      <c r="N152" s="129"/>
      <c r="O152" s="129"/>
      <c r="P152" s="129"/>
      <c r="Q152" s="129"/>
      <c r="R152" s="129"/>
    </row>
    <row r="153" spans="1:18" ht="186.75" customHeight="1">
      <c r="A153" s="129">
        <v>151</v>
      </c>
      <c r="B153" s="129"/>
      <c r="C153" s="158" t="s">
        <v>451</v>
      </c>
      <c r="D153" s="20" t="s">
        <v>452</v>
      </c>
      <c r="E153" s="21" t="s">
        <v>265</v>
      </c>
      <c r="F153" s="13" t="s">
        <v>1193</v>
      </c>
      <c r="G153" s="129" t="s">
        <v>453</v>
      </c>
      <c r="H153" s="129"/>
      <c r="I153" s="148" t="s">
        <v>454</v>
      </c>
      <c r="J153" s="129"/>
      <c r="K153" s="141"/>
      <c r="L153" s="129"/>
      <c r="M153" s="129"/>
      <c r="N153" s="129"/>
      <c r="O153" s="129"/>
      <c r="P153" s="129"/>
      <c r="Q153" s="129"/>
      <c r="R153" s="129"/>
    </row>
    <row r="154" spans="1:18" ht="186.75" customHeight="1">
      <c r="A154" s="129">
        <v>152</v>
      </c>
      <c r="B154" s="129"/>
      <c r="C154" s="129" t="s">
        <v>953</v>
      </c>
      <c r="D154" s="129" t="s">
        <v>954</v>
      </c>
      <c r="E154" s="129" t="s">
        <v>264</v>
      </c>
      <c r="F154" s="129" t="s">
        <v>1296</v>
      </c>
      <c r="G154" s="129"/>
      <c r="H154" s="129"/>
      <c r="I154" s="129" t="s">
        <v>955</v>
      </c>
      <c r="J154" s="129"/>
      <c r="K154" s="129"/>
      <c r="L154" s="129"/>
      <c r="M154" s="129"/>
      <c r="N154" s="129"/>
      <c r="O154" s="129"/>
      <c r="P154" s="129"/>
      <c r="Q154" s="129"/>
      <c r="R154" s="129"/>
    </row>
    <row r="155" spans="1:18" ht="106.75" customHeight="1">
      <c r="A155" s="129">
        <v>153</v>
      </c>
      <c r="B155" s="137">
        <v>46052</v>
      </c>
      <c r="C155" s="149" t="s">
        <v>1415</v>
      </c>
      <c r="D155" s="7" t="s">
        <v>1411</v>
      </c>
      <c r="E155" s="10" t="s">
        <v>1539</v>
      </c>
      <c r="F155" s="148" t="s">
        <v>1532</v>
      </c>
      <c r="G155" s="129"/>
      <c r="H155" s="129"/>
      <c r="I155" s="148" t="s">
        <v>1412</v>
      </c>
      <c r="J155" s="129"/>
      <c r="K155" s="141" t="s">
        <v>1494</v>
      </c>
      <c r="L155" s="129"/>
      <c r="M155" s="129"/>
      <c r="N155" s="129"/>
      <c r="O155" s="129"/>
      <c r="P155" s="129"/>
      <c r="Q155" s="129"/>
      <c r="R155" s="129"/>
    </row>
    <row r="156" spans="1:18" ht="133.25" customHeight="1">
      <c r="A156" s="129">
        <v>154</v>
      </c>
      <c r="B156" s="129"/>
      <c r="C156" s="129" t="s">
        <v>1496</v>
      </c>
      <c r="D156" s="129" t="s">
        <v>1495</v>
      </c>
      <c r="E156" s="135" t="s">
        <v>1539</v>
      </c>
      <c r="F156" s="129" t="s">
        <v>1531</v>
      </c>
      <c r="G156" s="129" t="s">
        <v>1785</v>
      </c>
      <c r="H156" s="129"/>
      <c r="I156" s="129" t="s">
        <v>1786</v>
      </c>
      <c r="J156" s="129"/>
      <c r="K156" s="129" t="s">
        <v>1564</v>
      </c>
      <c r="L156" s="129"/>
      <c r="M156" s="129"/>
      <c r="N156" s="129"/>
      <c r="O156" s="129"/>
      <c r="P156" s="129"/>
      <c r="Q156" s="129"/>
      <c r="R156" s="129"/>
    </row>
    <row r="157" spans="1:18" ht="121" customHeight="1">
      <c r="A157" s="129">
        <v>155</v>
      </c>
      <c r="B157" s="129"/>
      <c r="C157" s="129"/>
      <c r="D157" s="135" t="s">
        <v>1319</v>
      </c>
      <c r="E157" s="129" t="s">
        <v>265</v>
      </c>
      <c r="F157" s="129" t="s">
        <v>1451</v>
      </c>
      <c r="G157" s="129"/>
      <c r="H157" s="129"/>
      <c r="I157" s="129" t="s">
        <v>1052</v>
      </c>
      <c r="J157" s="129"/>
      <c r="K157" s="129"/>
      <c r="L157" s="129"/>
      <c r="M157" s="129"/>
      <c r="N157" s="129"/>
      <c r="O157" s="129"/>
      <c r="P157" s="129"/>
      <c r="Q157" s="129"/>
      <c r="R157" s="129"/>
    </row>
    <row r="158" spans="1:18" ht="160" customHeight="1">
      <c r="A158" s="129">
        <v>156</v>
      </c>
      <c r="B158" s="129"/>
      <c r="C158" s="129" t="s">
        <v>1320</v>
      </c>
      <c r="D158" s="129" t="s">
        <v>1053</v>
      </c>
      <c r="E158" s="129" t="s">
        <v>1539</v>
      </c>
      <c r="F158" s="129" t="s">
        <v>1321</v>
      </c>
      <c r="G158" s="129"/>
      <c r="H158" s="129"/>
      <c r="I158" s="129"/>
      <c r="J158" s="129"/>
      <c r="K158" s="129"/>
      <c r="L158" s="129"/>
      <c r="M158" s="129"/>
      <c r="N158" s="129"/>
      <c r="O158" s="129"/>
      <c r="P158" s="129"/>
      <c r="Q158" s="129"/>
      <c r="R158" s="129"/>
    </row>
    <row r="159" spans="1:18" ht="133.25" customHeight="1">
      <c r="A159" s="129">
        <v>157</v>
      </c>
      <c r="B159" s="135"/>
      <c r="C159" s="135" t="s">
        <v>1262</v>
      </c>
      <c r="D159" s="135" t="s">
        <v>1263</v>
      </c>
      <c r="E159" s="129" t="s">
        <v>1539</v>
      </c>
      <c r="F159" s="129" t="s">
        <v>1264</v>
      </c>
      <c r="G159" s="129"/>
      <c r="H159" s="129"/>
      <c r="I159" s="129" t="s">
        <v>853</v>
      </c>
      <c r="J159" s="129"/>
      <c r="K159" s="129"/>
      <c r="L159" s="129"/>
      <c r="M159" s="129"/>
      <c r="N159" s="129"/>
      <c r="O159" s="129"/>
      <c r="P159" s="129"/>
      <c r="Q159" s="129"/>
      <c r="R159" s="129"/>
    </row>
    <row r="160" spans="1:18" ht="53.25" customHeight="1">
      <c r="A160" s="129">
        <v>158</v>
      </c>
      <c r="B160" s="137"/>
      <c r="C160" s="129" t="s">
        <v>1194</v>
      </c>
      <c r="D160" s="129" t="s">
        <v>455</v>
      </c>
      <c r="E160" s="129" t="s">
        <v>1539</v>
      </c>
      <c r="F160" s="129" t="s">
        <v>1923</v>
      </c>
      <c r="G160" s="129" t="s">
        <v>456</v>
      </c>
      <c r="H160" s="141"/>
      <c r="I160" s="129" t="s">
        <v>1348</v>
      </c>
      <c r="J160" s="154"/>
      <c r="K160" s="129" t="s">
        <v>1565</v>
      </c>
      <c r="L160" s="129"/>
      <c r="M160" s="129"/>
      <c r="N160" s="129"/>
      <c r="O160" s="129"/>
      <c r="P160" s="129"/>
      <c r="Q160" s="129"/>
      <c r="R160" s="129"/>
    </row>
    <row r="161" spans="1:18" ht="106.75" customHeight="1">
      <c r="A161" s="129">
        <v>159</v>
      </c>
      <c r="B161" s="143"/>
      <c r="C161" s="135"/>
      <c r="D161" s="135" t="s">
        <v>457</v>
      </c>
      <c r="E161" s="129" t="s">
        <v>265</v>
      </c>
      <c r="F161" s="129" t="s">
        <v>1733</v>
      </c>
      <c r="G161" s="129"/>
      <c r="H161" s="129"/>
      <c r="I161" s="129" t="s">
        <v>458</v>
      </c>
      <c r="J161" s="129"/>
      <c r="K161" s="154" t="s">
        <v>1734</v>
      </c>
      <c r="L161" s="129"/>
      <c r="M161" s="129"/>
      <c r="N161" s="129"/>
      <c r="O161" s="129"/>
      <c r="P161" s="129"/>
      <c r="Q161" s="129"/>
      <c r="R161" s="129"/>
    </row>
    <row r="162" spans="1:18" ht="409.5" customHeight="1">
      <c r="A162" s="129">
        <v>160</v>
      </c>
      <c r="B162" s="173" t="s">
        <v>1668</v>
      </c>
      <c r="C162" s="135" t="s">
        <v>1316</v>
      </c>
      <c r="D162" s="135" t="s">
        <v>1042</v>
      </c>
      <c r="E162" s="129" t="s">
        <v>266</v>
      </c>
      <c r="F162" s="129" t="s">
        <v>1924</v>
      </c>
      <c r="G162" s="129"/>
      <c r="H162" s="129"/>
      <c r="I162" s="129" t="s">
        <v>1043</v>
      </c>
      <c r="J162" s="129" t="s">
        <v>1044</v>
      </c>
      <c r="K162" s="129" t="s">
        <v>1045</v>
      </c>
      <c r="L162" s="129"/>
      <c r="M162" s="129"/>
      <c r="N162" s="129"/>
      <c r="O162" s="129" t="s">
        <v>778</v>
      </c>
      <c r="P162" s="129"/>
      <c r="Q162" s="129"/>
      <c r="R162" s="129"/>
    </row>
    <row r="163" spans="1:18" ht="409.5" customHeight="1">
      <c r="A163" s="129">
        <v>161</v>
      </c>
      <c r="B163" s="144" t="s">
        <v>553</v>
      </c>
      <c r="C163" s="129" t="s">
        <v>722</v>
      </c>
      <c r="D163" s="129" t="s">
        <v>723</v>
      </c>
      <c r="E163" s="135" t="s">
        <v>1339</v>
      </c>
      <c r="F163" s="129" t="s">
        <v>1554</v>
      </c>
      <c r="G163" s="129" t="s">
        <v>1358</v>
      </c>
      <c r="H163" s="129" t="s">
        <v>724</v>
      </c>
      <c r="I163" s="129" t="s">
        <v>1787</v>
      </c>
      <c r="J163" s="129" t="s">
        <v>1566</v>
      </c>
      <c r="K163" s="129" t="s">
        <v>1567</v>
      </c>
      <c r="L163" s="129"/>
      <c r="M163" s="23" t="s">
        <v>725</v>
      </c>
      <c r="N163" s="8"/>
      <c r="O163" s="129"/>
      <c r="P163" s="129"/>
      <c r="Q163" s="129"/>
      <c r="R163" s="129"/>
    </row>
    <row r="164" spans="1:18" ht="133.25" customHeight="1">
      <c r="A164" s="129">
        <v>162</v>
      </c>
      <c r="B164" s="134"/>
      <c r="C164" s="129" t="s">
        <v>1330</v>
      </c>
      <c r="D164" s="129" t="s">
        <v>1331</v>
      </c>
      <c r="E164" s="129" t="s">
        <v>579</v>
      </c>
      <c r="F164" s="129" t="s">
        <v>1384</v>
      </c>
      <c r="G164" s="129" t="s">
        <v>1385</v>
      </c>
      <c r="H164" s="129"/>
      <c r="I164" s="129" t="s">
        <v>1386</v>
      </c>
      <c r="J164" s="129"/>
      <c r="K164" s="129" t="s">
        <v>1079</v>
      </c>
      <c r="L164" s="129"/>
      <c r="M164" s="129"/>
      <c r="N164" s="129"/>
      <c r="O164" s="129"/>
      <c r="P164" s="129"/>
      <c r="Q164" s="129"/>
      <c r="R164" s="129"/>
    </row>
    <row r="165" spans="1:18" ht="160" customHeight="1">
      <c r="A165" s="129">
        <v>163</v>
      </c>
      <c r="B165" s="137"/>
      <c r="C165" s="151" t="s">
        <v>459</v>
      </c>
      <c r="D165" s="11" t="s">
        <v>1195</v>
      </c>
      <c r="E165" s="129" t="s">
        <v>1539</v>
      </c>
      <c r="F165" s="17" t="s">
        <v>1425</v>
      </c>
      <c r="G165" s="8" t="s">
        <v>460</v>
      </c>
      <c r="H165" s="154"/>
      <c r="I165" s="16" t="s">
        <v>461</v>
      </c>
      <c r="J165" s="129"/>
      <c r="K165" s="154"/>
      <c r="L165" s="129"/>
      <c r="M165" s="129"/>
      <c r="N165" s="129"/>
      <c r="O165" s="129"/>
      <c r="P165" s="129"/>
      <c r="Q165" s="129"/>
      <c r="R165" s="129"/>
    </row>
    <row r="166" spans="1:18" ht="240" customHeight="1">
      <c r="A166" s="129">
        <v>164</v>
      </c>
      <c r="B166" s="134"/>
      <c r="C166" s="129" t="s">
        <v>462</v>
      </c>
      <c r="D166" s="11" t="s">
        <v>463</v>
      </c>
      <c r="E166" s="129" t="s">
        <v>1539</v>
      </c>
      <c r="F166" s="12" t="s">
        <v>1925</v>
      </c>
      <c r="G166" s="129"/>
      <c r="H166" s="129"/>
      <c r="I166" s="140" t="s">
        <v>464</v>
      </c>
      <c r="J166" s="129"/>
      <c r="K166" s="154"/>
      <c r="L166" s="129"/>
      <c r="M166" s="129"/>
      <c r="N166" s="129"/>
      <c r="O166" s="129"/>
      <c r="P166" s="129"/>
      <c r="Q166" s="129"/>
      <c r="R166" s="129"/>
    </row>
    <row r="167" spans="1:18" ht="213.25" customHeight="1">
      <c r="A167" s="129">
        <v>165</v>
      </c>
      <c r="B167" s="129"/>
      <c r="C167" s="129"/>
      <c r="D167" s="129" t="s">
        <v>465</v>
      </c>
      <c r="E167" s="135" t="s">
        <v>265</v>
      </c>
      <c r="F167" s="129" t="s">
        <v>1196</v>
      </c>
      <c r="G167" s="129"/>
      <c r="H167" s="129"/>
      <c r="I167" s="129" t="s">
        <v>466</v>
      </c>
      <c r="J167" s="129"/>
      <c r="K167" s="129"/>
      <c r="L167" s="129"/>
      <c r="M167" s="129"/>
      <c r="N167" s="129"/>
      <c r="O167" s="129"/>
      <c r="P167" s="129"/>
      <c r="Q167" s="129"/>
      <c r="R167" s="129"/>
    </row>
    <row r="168" spans="1:18" ht="133.25" customHeight="1">
      <c r="A168" s="129">
        <v>166</v>
      </c>
      <c r="B168" s="137"/>
      <c r="C168" s="129" t="s">
        <v>467</v>
      </c>
      <c r="D168" s="11" t="s">
        <v>468</v>
      </c>
      <c r="E168" s="129" t="s">
        <v>264</v>
      </c>
      <c r="F168" s="12" t="s">
        <v>1926</v>
      </c>
      <c r="G168" s="140" t="s">
        <v>469</v>
      </c>
      <c r="H168" s="154"/>
      <c r="I168" s="151" t="s">
        <v>470</v>
      </c>
      <c r="J168" s="154"/>
      <c r="K168" s="154"/>
      <c r="L168" s="129"/>
      <c r="M168" s="129"/>
      <c r="N168" s="129"/>
      <c r="O168" s="129"/>
      <c r="P168" s="129"/>
      <c r="Q168" s="129"/>
      <c r="R168" s="129"/>
    </row>
    <row r="169" spans="1:18" ht="160" customHeight="1">
      <c r="A169" s="129">
        <v>167</v>
      </c>
      <c r="B169" s="129"/>
      <c r="C169" s="129" t="s">
        <v>637</v>
      </c>
      <c r="D169" s="129" t="s">
        <v>638</v>
      </c>
      <c r="E169" s="129" t="s">
        <v>264</v>
      </c>
      <c r="F169" s="129" t="s">
        <v>1226</v>
      </c>
      <c r="G169" s="129"/>
      <c r="H169" s="129"/>
      <c r="I169" s="129" t="s">
        <v>1669</v>
      </c>
      <c r="J169" s="129" t="s">
        <v>639</v>
      </c>
      <c r="K169" s="129"/>
      <c r="L169" s="129"/>
      <c r="M169" s="129"/>
      <c r="N169" s="129"/>
      <c r="O169" s="129"/>
      <c r="P169" s="129"/>
      <c r="Q169" s="129"/>
      <c r="R169" s="129"/>
    </row>
    <row r="170" spans="1:18" ht="133.25" customHeight="1">
      <c r="A170" s="129">
        <v>168</v>
      </c>
      <c r="B170" s="137">
        <v>46048</v>
      </c>
      <c r="C170" s="129"/>
      <c r="D170" s="135" t="s">
        <v>1197</v>
      </c>
      <c r="E170" s="129" t="s">
        <v>265</v>
      </c>
      <c r="F170" s="129" t="s">
        <v>1426</v>
      </c>
      <c r="G170" s="129"/>
      <c r="H170" s="129"/>
      <c r="I170" s="129" t="s">
        <v>471</v>
      </c>
      <c r="J170" s="129"/>
      <c r="K170" s="129" t="s">
        <v>472</v>
      </c>
      <c r="L170" s="23" t="s">
        <v>473</v>
      </c>
      <c r="M170" s="129"/>
      <c r="N170" s="129"/>
      <c r="O170" s="129"/>
      <c r="P170" s="129"/>
      <c r="Q170" s="129"/>
      <c r="R170" s="129"/>
    </row>
    <row r="171" spans="1:18" ht="186.75" customHeight="1">
      <c r="A171" s="129">
        <v>169</v>
      </c>
      <c r="B171" s="134"/>
      <c r="C171" s="129" t="s">
        <v>482</v>
      </c>
      <c r="D171" s="129" t="s">
        <v>483</v>
      </c>
      <c r="E171" s="129" t="s">
        <v>265</v>
      </c>
      <c r="F171" s="129" t="s">
        <v>1200</v>
      </c>
      <c r="G171" s="129"/>
      <c r="H171" s="129"/>
      <c r="I171" s="129" t="s">
        <v>484</v>
      </c>
      <c r="J171" s="129"/>
      <c r="K171" s="129"/>
      <c r="L171" s="129"/>
      <c r="M171" s="129"/>
      <c r="N171" s="129"/>
      <c r="O171" s="129"/>
      <c r="P171" s="129"/>
      <c r="Q171" s="129"/>
      <c r="R171" s="129"/>
    </row>
    <row r="172" spans="1:18" ht="160" customHeight="1">
      <c r="A172" s="129">
        <v>170</v>
      </c>
      <c r="B172" s="134" t="s">
        <v>966</v>
      </c>
      <c r="C172" s="149" t="s">
        <v>967</v>
      </c>
      <c r="D172" s="20" t="s">
        <v>968</v>
      </c>
      <c r="E172" s="10" t="s">
        <v>969</v>
      </c>
      <c r="F172" s="140" t="s">
        <v>1301</v>
      </c>
      <c r="G172" s="129" t="s">
        <v>970</v>
      </c>
      <c r="H172" s="129"/>
      <c r="I172" s="140" t="s">
        <v>971</v>
      </c>
      <c r="J172" s="129"/>
      <c r="K172" s="141"/>
      <c r="L172" s="129"/>
      <c r="M172" s="129"/>
      <c r="N172" s="129"/>
      <c r="O172" s="129"/>
      <c r="P172" s="129"/>
      <c r="Q172" s="129"/>
      <c r="R172" s="129"/>
    </row>
    <row r="173" spans="1:18" ht="186.75" customHeight="1">
      <c r="A173" s="129">
        <v>171</v>
      </c>
      <c r="B173" s="137">
        <v>46050</v>
      </c>
      <c r="C173" s="129" t="s">
        <v>474</v>
      </c>
      <c r="D173" s="129" t="s">
        <v>475</v>
      </c>
      <c r="E173" s="129" t="s">
        <v>264</v>
      </c>
      <c r="F173" s="129" t="s">
        <v>1198</v>
      </c>
      <c r="G173" s="129" t="s">
        <v>476</v>
      </c>
      <c r="H173" s="129"/>
      <c r="I173" s="129" t="s">
        <v>1788</v>
      </c>
      <c r="J173" s="129" t="s">
        <v>477</v>
      </c>
      <c r="K173" s="129" t="s">
        <v>478</v>
      </c>
      <c r="L173" s="129"/>
      <c r="M173" s="129"/>
      <c r="N173" s="129"/>
      <c r="O173" s="129"/>
      <c r="P173" s="129"/>
      <c r="Q173" s="129"/>
      <c r="R173" s="129"/>
    </row>
    <row r="174" spans="1:18" ht="160" customHeight="1">
      <c r="A174" s="129">
        <v>172</v>
      </c>
      <c r="B174" s="129"/>
      <c r="C174" s="129" t="s">
        <v>822</v>
      </c>
      <c r="D174" s="129" t="s">
        <v>823</v>
      </c>
      <c r="E174" s="129" t="s">
        <v>266</v>
      </c>
      <c r="F174" s="129" t="s">
        <v>1443</v>
      </c>
      <c r="G174" s="129"/>
      <c r="H174" s="129"/>
      <c r="I174" s="129" t="s">
        <v>824</v>
      </c>
      <c r="J174" s="129"/>
      <c r="K174" s="129"/>
      <c r="L174" s="129"/>
      <c r="M174" s="129"/>
      <c r="N174" s="129"/>
      <c r="O174" s="129"/>
      <c r="P174" s="129"/>
      <c r="Q174" s="129"/>
      <c r="R174" s="129"/>
    </row>
    <row r="175" spans="1:18" ht="106.75" customHeight="1">
      <c r="A175" s="129">
        <v>173</v>
      </c>
      <c r="B175" s="137">
        <v>46050</v>
      </c>
      <c r="C175" s="129" t="s">
        <v>1201</v>
      </c>
      <c r="D175" s="129" t="s">
        <v>1510</v>
      </c>
      <c r="E175" s="129" t="s">
        <v>1539</v>
      </c>
      <c r="F175" s="129" t="s">
        <v>1511</v>
      </c>
      <c r="G175" s="129" t="s">
        <v>485</v>
      </c>
      <c r="H175" s="129"/>
      <c r="I175" s="129" t="s">
        <v>1789</v>
      </c>
      <c r="J175" s="129" t="s">
        <v>486</v>
      </c>
      <c r="K175" s="129" t="s">
        <v>487</v>
      </c>
      <c r="L175" s="129"/>
      <c r="M175" s="129"/>
      <c r="N175" s="129"/>
      <c r="O175" s="129"/>
      <c r="P175" s="129"/>
      <c r="Q175" s="129"/>
      <c r="R175" s="129"/>
    </row>
    <row r="176" spans="1:18" ht="133.25" customHeight="1">
      <c r="A176" s="129">
        <v>174</v>
      </c>
      <c r="B176" s="129"/>
      <c r="C176" s="129" t="s">
        <v>479</v>
      </c>
      <c r="D176" s="129" t="s">
        <v>480</v>
      </c>
      <c r="E176" s="129" t="s">
        <v>265</v>
      </c>
      <c r="F176" s="129" t="s">
        <v>1199</v>
      </c>
      <c r="G176" s="129" t="s">
        <v>481</v>
      </c>
      <c r="H176" s="129"/>
      <c r="I176" s="129" t="s">
        <v>1518</v>
      </c>
      <c r="J176" s="129"/>
      <c r="K176" s="129"/>
      <c r="L176" s="129"/>
      <c r="M176" s="129"/>
      <c r="N176" s="129"/>
      <c r="O176" s="129"/>
      <c r="P176" s="129"/>
      <c r="Q176" s="129"/>
      <c r="R176" s="129"/>
    </row>
    <row r="177" spans="1:18" ht="160" customHeight="1">
      <c r="A177" s="129">
        <v>175</v>
      </c>
      <c r="B177" s="174">
        <v>46048</v>
      </c>
      <c r="C177" s="139" t="s">
        <v>1310</v>
      </c>
      <c r="D177" s="135" t="s">
        <v>1008</v>
      </c>
      <c r="E177" s="129" t="s">
        <v>1539</v>
      </c>
      <c r="F177" s="129" t="s">
        <v>1009</v>
      </c>
      <c r="G177" s="129"/>
      <c r="H177" s="129"/>
      <c r="I177" s="129" t="s">
        <v>1010</v>
      </c>
      <c r="J177" s="129" t="s">
        <v>1011</v>
      </c>
      <c r="K177" s="129" t="s">
        <v>1368</v>
      </c>
      <c r="L177" s="129"/>
      <c r="M177" s="129"/>
      <c r="N177" s="129"/>
      <c r="O177" s="129"/>
      <c r="P177" s="129"/>
      <c r="Q177" s="129"/>
      <c r="R177" s="129"/>
    </row>
    <row r="178" spans="1:18" ht="133.25" customHeight="1">
      <c r="A178" s="129">
        <v>176</v>
      </c>
      <c r="B178" s="134" t="s">
        <v>287</v>
      </c>
      <c r="C178" s="129"/>
      <c r="D178" s="129" t="s">
        <v>782</v>
      </c>
      <c r="E178" s="10" t="s">
        <v>265</v>
      </c>
      <c r="F178" s="129" t="s">
        <v>1524</v>
      </c>
      <c r="G178" s="129" t="s">
        <v>763</v>
      </c>
      <c r="H178" s="129"/>
      <c r="I178" s="129" t="s">
        <v>783</v>
      </c>
      <c r="J178" s="129" t="s">
        <v>784</v>
      </c>
      <c r="K178" s="129" t="s">
        <v>785</v>
      </c>
      <c r="L178" s="129"/>
      <c r="M178" s="129"/>
      <c r="N178" s="129"/>
      <c r="O178" s="129"/>
      <c r="P178" s="129"/>
      <c r="Q178" s="129"/>
      <c r="R178" s="129"/>
    </row>
    <row r="179" spans="1:18" ht="160" customHeight="1">
      <c r="A179" s="129">
        <v>177</v>
      </c>
      <c r="B179" s="129"/>
      <c r="C179" s="129" t="s">
        <v>488</v>
      </c>
      <c r="D179" s="129" t="s">
        <v>1202</v>
      </c>
      <c r="E179" s="129" t="s">
        <v>266</v>
      </c>
      <c r="F179" s="129" t="s">
        <v>1541</v>
      </c>
      <c r="G179" s="129" t="s">
        <v>489</v>
      </c>
      <c r="H179" s="129"/>
      <c r="I179" s="129" t="s">
        <v>1790</v>
      </c>
      <c r="J179" s="129"/>
      <c r="K179" s="129"/>
      <c r="L179" s="129"/>
      <c r="M179" s="23" t="s">
        <v>490</v>
      </c>
      <c r="N179" s="129"/>
      <c r="O179" s="129"/>
      <c r="P179" s="129"/>
      <c r="Q179" s="129"/>
      <c r="R179" s="129"/>
    </row>
    <row r="180" spans="1:18" ht="133.25" customHeight="1">
      <c r="A180" s="129">
        <v>178</v>
      </c>
      <c r="B180" s="129"/>
      <c r="C180" s="129"/>
      <c r="D180" s="129" t="s">
        <v>792</v>
      </c>
      <c r="E180" s="129" t="s">
        <v>1539</v>
      </c>
      <c r="F180" s="129" t="s">
        <v>1418</v>
      </c>
      <c r="G180" s="129"/>
      <c r="H180" s="129"/>
      <c r="I180" s="129" t="s">
        <v>793</v>
      </c>
      <c r="J180" s="129"/>
      <c r="K180" s="129"/>
      <c r="L180" s="129"/>
      <c r="M180" s="129"/>
      <c r="N180" s="129"/>
      <c r="O180" s="129"/>
      <c r="P180" s="129"/>
      <c r="Q180" s="129"/>
      <c r="R180" s="129"/>
    </row>
    <row r="181" spans="1:18" ht="133.25" customHeight="1">
      <c r="A181" s="129">
        <v>179</v>
      </c>
      <c r="B181" s="137">
        <v>46048</v>
      </c>
      <c r="C181" s="129" t="s">
        <v>491</v>
      </c>
      <c r="D181" s="129" t="s">
        <v>492</v>
      </c>
      <c r="E181" s="129" t="s">
        <v>266</v>
      </c>
      <c r="F181" s="129" t="s">
        <v>1203</v>
      </c>
      <c r="G181" s="129" t="s">
        <v>493</v>
      </c>
      <c r="H181" s="129"/>
      <c r="I181" s="129" t="s">
        <v>494</v>
      </c>
      <c r="J181" s="129"/>
      <c r="K181" s="140" t="s">
        <v>495</v>
      </c>
      <c r="L181" s="129"/>
      <c r="M181" s="129"/>
      <c r="N181" s="129"/>
      <c r="O181" s="129"/>
      <c r="P181" s="129"/>
      <c r="Q181" s="129"/>
      <c r="R181" s="129"/>
    </row>
    <row r="182" spans="1:18" ht="186.75" customHeight="1">
      <c r="A182" s="129">
        <v>180</v>
      </c>
      <c r="B182" s="129"/>
      <c r="C182" s="129" t="s">
        <v>496</v>
      </c>
      <c r="D182" s="129" t="s">
        <v>497</v>
      </c>
      <c r="E182" s="129" t="s">
        <v>1539</v>
      </c>
      <c r="F182" s="139" t="s">
        <v>1735</v>
      </c>
      <c r="G182" s="129" t="s">
        <v>498</v>
      </c>
      <c r="H182" s="129"/>
      <c r="I182" s="129" t="s">
        <v>1349</v>
      </c>
      <c r="J182" s="129"/>
      <c r="K182" s="129" t="s">
        <v>499</v>
      </c>
      <c r="L182" s="129"/>
      <c r="M182" s="129"/>
      <c r="N182" s="129"/>
      <c r="O182" s="129"/>
      <c r="P182" s="129"/>
      <c r="Q182" s="129"/>
      <c r="R182" s="129"/>
    </row>
    <row r="183" spans="1:18" ht="160" customHeight="1">
      <c r="A183" s="129">
        <v>181</v>
      </c>
      <c r="B183" s="129"/>
      <c r="C183" s="129" t="s">
        <v>500</v>
      </c>
      <c r="D183" s="129" t="s">
        <v>501</v>
      </c>
      <c r="E183" s="129" t="s">
        <v>1539</v>
      </c>
      <c r="F183" s="129" t="s">
        <v>1204</v>
      </c>
      <c r="G183" s="129"/>
      <c r="H183" s="129"/>
      <c r="I183" s="129" t="s">
        <v>502</v>
      </c>
      <c r="J183" s="129"/>
      <c r="K183" s="129"/>
      <c r="L183" s="129"/>
      <c r="M183" s="129"/>
      <c r="N183" s="129"/>
      <c r="O183" s="129"/>
      <c r="P183" s="129"/>
      <c r="Q183" s="129"/>
      <c r="R183" s="129"/>
    </row>
    <row r="184" spans="1:18" ht="160" customHeight="1">
      <c r="A184" s="129">
        <v>182</v>
      </c>
      <c r="B184" s="137">
        <v>46048</v>
      </c>
      <c r="C184" s="129" t="s">
        <v>1371</v>
      </c>
      <c r="D184" s="129" t="s">
        <v>1372</v>
      </c>
      <c r="E184" s="129" t="s">
        <v>266</v>
      </c>
      <c r="F184" s="129" t="s">
        <v>1927</v>
      </c>
      <c r="G184" s="129" t="s">
        <v>1791</v>
      </c>
      <c r="H184" s="129"/>
      <c r="I184" s="129" t="s">
        <v>1792</v>
      </c>
      <c r="J184" s="129"/>
      <c r="K184" s="129" t="s">
        <v>1373</v>
      </c>
      <c r="L184" s="129"/>
      <c r="M184" s="129"/>
      <c r="N184" s="129"/>
      <c r="O184" s="129"/>
      <c r="P184" s="129"/>
      <c r="Q184" s="129"/>
      <c r="R184" s="129"/>
    </row>
    <row r="185" spans="1:18" ht="133.25" customHeight="1">
      <c r="A185" s="129">
        <v>183</v>
      </c>
      <c r="B185" s="137">
        <v>46048</v>
      </c>
      <c r="C185" s="129" t="s">
        <v>677</v>
      </c>
      <c r="D185" s="11" t="s">
        <v>1232</v>
      </c>
      <c r="E185" s="129" t="s">
        <v>266</v>
      </c>
      <c r="F185" s="129" t="s">
        <v>1435</v>
      </c>
      <c r="G185" s="129" t="s">
        <v>678</v>
      </c>
      <c r="H185" s="129"/>
      <c r="I185" s="129" t="s">
        <v>679</v>
      </c>
      <c r="J185" s="129"/>
      <c r="K185" s="129"/>
      <c r="L185" s="129"/>
      <c r="M185" s="129"/>
      <c r="N185" s="129"/>
      <c r="O185" s="129" t="s">
        <v>845</v>
      </c>
      <c r="P185" s="129"/>
      <c r="Q185" s="129"/>
      <c r="R185" s="129"/>
    </row>
    <row r="186" spans="1:18" ht="409.5" customHeight="1">
      <c r="A186" s="129">
        <v>184</v>
      </c>
      <c r="B186" s="137"/>
      <c r="C186" s="151" t="s">
        <v>503</v>
      </c>
      <c r="D186" s="140" t="s">
        <v>504</v>
      </c>
      <c r="E186" s="129" t="s">
        <v>265</v>
      </c>
      <c r="F186" s="12" t="s">
        <v>1928</v>
      </c>
      <c r="G186" s="129" t="s">
        <v>505</v>
      </c>
      <c r="H186" s="129"/>
      <c r="I186" s="13" t="s">
        <v>1793</v>
      </c>
      <c r="J186" s="129"/>
      <c r="K186" s="151" t="s">
        <v>506</v>
      </c>
      <c r="L186" s="129"/>
      <c r="M186" s="129"/>
      <c r="N186" s="129"/>
      <c r="O186" s="129"/>
      <c r="P186" s="129"/>
      <c r="Q186" s="129"/>
      <c r="R186" s="129"/>
    </row>
    <row r="187" spans="1:18" ht="186.75" customHeight="1">
      <c r="A187" s="129">
        <v>185</v>
      </c>
      <c r="B187" s="129"/>
      <c r="C187" s="129"/>
      <c r="D187" s="129" t="s">
        <v>515</v>
      </c>
      <c r="E187" s="129" t="s">
        <v>265</v>
      </c>
      <c r="F187" s="129" t="s">
        <v>516</v>
      </c>
      <c r="G187" s="129"/>
      <c r="H187" s="129"/>
      <c r="I187" s="129" t="s">
        <v>517</v>
      </c>
      <c r="J187" s="129"/>
      <c r="K187" s="129"/>
      <c r="L187" s="129"/>
      <c r="M187" s="129"/>
      <c r="N187" s="129"/>
      <c r="O187" s="129"/>
      <c r="P187" s="129"/>
      <c r="Q187" s="129"/>
      <c r="R187" s="129"/>
    </row>
    <row r="188" spans="1:18" ht="213.25" customHeight="1">
      <c r="A188" s="129">
        <v>186</v>
      </c>
      <c r="B188" s="129"/>
      <c r="C188" s="129"/>
      <c r="D188" s="129" t="s">
        <v>979</v>
      </c>
      <c r="E188" s="135" t="s">
        <v>265</v>
      </c>
      <c r="F188" s="129" t="s">
        <v>1929</v>
      </c>
      <c r="G188" s="129"/>
      <c r="H188" s="129"/>
      <c r="I188" s="129" t="s">
        <v>980</v>
      </c>
      <c r="J188" s="129"/>
      <c r="K188" s="129"/>
      <c r="L188" s="129"/>
      <c r="M188" s="129"/>
      <c r="N188" s="129"/>
      <c r="O188" s="129"/>
      <c r="P188" s="129"/>
      <c r="Q188" s="129"/>
      <c r="R188" s="129"/>
    </row>
    <row r="189" spans="1:18" ht="133.25" customHeight="1">
      <c r="A189" s="129">
        <v>187</v>
      </c>
      <c r="B189" s="137"/>
      <c r="C189" s="129"/>
      <c r="D189" s="11" t="s">
        <v>985</v>
      </c>
      <c r="E189" s="129" t="s">
        <v>1539</v>
      </c>
      <c r="F189" s="12" t="s">
        <v>986</v>
      </c>
      <c r="G189" s="129"/>
      <c r="H189" s="129"/>
      <c r="I189" s="155" t="s">
        <v>987</v>
      </c>
      <c r="J189" s="129"/>
      <c r="K189" s="129" t="s">
        <v>1366</v>
      </c>
      <c r="L189" s="129"/>
      <c r="M189" s="129"/>
      <c r="N189" s="129"/>
      <c r="O189" s="129"/>
      <c r="P189" s="129"/>
      <c r="Q189" s="129"/>
      <c r="R189" s="129"/>
    </row>
    <row r="190" spans="1:18" ht="160" customHeight="1">
      <c r="A190" s="129">
        <v>188</v>
      </c>
      <c r="B190" s="137"/>
      <c r="C190" s="129" t="s">
        <v>507</v>
      </c>
      <c r="D190" s="129" t="s">
        <v>508</v>
      </c>
      <c r="E190" s="129" t="s">
        <v>265</v>
      </c>
      <c r="F190" s="12" t="s">
        <v>1205</v>
      </c>
      <c r="G190" s="129"/>
      <c r="H190" s="129"/>
      <c r="I190" s="193" t="s">
        <v>509</v>
      </c>
      <c r="J190" s="129"/>
      <c r="K190" s="129"/>
      <c r="L190" s="129"/>
      <c r="M190" s="129"/>
      <c r="N190" s="129"/>
      <c r="O190" s="129"/>
      <c r="P190" s="129"/>
      <c r="Q190" s="145"/>
      <c r="R190" s="145"/>
    </row>
    <row r="191" spans="1:18" ht="106.75" customHeight="1">
      <c r="A191" s="129">
        <v>189</v>
      </c>
      <c r="B191" s="129"/>
      <c r="C191" s="129" t="s">
        <v>512</v>
      </c>
      <c r="D191" s="129" t="s">
        <v>1207</v>
      </c>
      <c r="E191" s="129" t="s">
        <v>264</v>
      </c>
      <c r="F191" s="129" t="s">
        <v>513</v>
      </c>
      <c r="G191" s="129"/>
      <c r="H191" s="129"/>
      <c r="I191" s="129" t="s">
        <v>514</v>
      </c>
      <c r="J191" s="129"/>
      <c r="K191" s="129"/>
      <c r="L191" s="129"/>
      <c r="M191" s="129"/>
      <c r="N191" s="129"/>
      <c r="O191" s="129"/>
      <c r="P191" s="129"/>
      <c r="Q191" s="129"/>
      <c r="R191" s="129"/>
    </row>
    <row r="192" spans="1:18" ht="186.75" customHeight="1">
      <c r="A192" s="129">
        <v>190</v>
      </c>
      <c r="B192" s="137">
        <v>46050</v>
      </c>
      <c r="C192" s="129" t="s">
        <v>673</v>
      </c>
      <c r="D192" s="129" t="s">
        <v>674</v>
      </c>
      <c r="E192" s="129" t="s">
        <v>264</v>
      </c>
      <c r="F192" s="129" t="s">
        <v>1542</v>
      </c>
      <c r="G192" s="129"/>
      <c r="H192" s="129"/>
      <c r="I192" s="129" t="s">
        <v>675</v>
      </c>
      <c r="J192" s="129" t="s">
        <v>676</v>
      </c>
      <c r="K192" s="129"/>
      <c r="L192" s="129"/>
      <c r="M192" s="129"/>
      <c r="N192" s="129"/>
      <c r="O192" s="129"/>
      <c r="P192" s="129"/>
      <c r="Q192" s="129"/>
      <c r="R192" s="129"/>
    </row>
    <row r="193" spans="1:18" ht="240" customHeight="1">
      <c r="A193" s="129">
        <v>191</v>
      </c>
      <c r="B193" s="137"/>
      <c r="C193" s="129" t="s">
        <v>790</v>
      </c>
      <c r="D193" s="129" t="s">
        <v>1249</v>
      </c>
      <c r="E193" s="129" t="s">
        <v>375</v>
      </c>
      <c r="F193" s="129" t="s">
        <v>791</v>
      </c>
      <c r="G193" s="154" t="s">
        <v>1794</v>
      </c>
      <c r="H193" s="129"/>
      <c r="I193" s="129" t="s">
        <v>1795</v>
      </c>
      <c r="J193" s="154"/>
      <c r="K193" s="141"/>
      <c r="L193" s="129"/>
      <c r="M193" s="129"/>
      <c r="N193" s="129"/>
      <c r="O193" s="129"/>
      <c r="P193" s="129"/>
      <c r="Q193" s="129"/>
      <c r="R193" s="129"/>
    </row>
    <row r="194" spans="1:18" ht="133.25" customHeight="1">
      <c r="A194" s="129">
        <v>192</v>
      </c>
      <c r="B194" s="137"/>
      <c r="C194" s="129" t="s">
        <v>1392</v>
      </c>
      <c r="D194" s="129" t="s">
        <v>1393</v>
      </c>
      <c r="E194" s="129" t="s">
        <v>264</v>
      </c>
      <c r="F194" s="129" t="s">
        <v>1551</v>
      </c>
      <c r="G194" s="129" t="s">
        <v>1394</v>
      </c>
      <c r="H194" s="129"/>
      <c r="I194" s="129" t="s">
        <v>1395</v>
      </c>
      <c r="J194" s="129"/>
      <c r="K194" s="129" t="s">
        <v>1568</v>
      </c>
      <c r="L194" s="129"/>
      <c r="M194" s="129"/>
      <c r="N194" s="129"/>
      <c r="O194" s="129"/>
      <c r="P194" s="129"/>
      <c r="Q194" s="129"/>
      <c r="R194" s="129"/>
    </row>
    <row r="195" spans="1:18" ht="106.75" customHeight="1">
      <c r="A195" s="129">
        <v>193</v>
      </c>
      <c r="B195" s="135"/>
      <c r="C195" s="135" t="s">
        <v>518</v>
      </c>
      <c r="D195" s="135" t="s">
        <v>519</v>
      </c>
      <c r="E195" s="129" t="s">
        <v>264</v>
      </c>
      <c r="F195" s="139" t="s">
        <v>1208</v>
      </c>
      <c r="G195" s="129"/>
      <c r="H195" s="129"/>
      <c r="I195" s="129" t="s">
        <v>520</v>
      </c>
      <c r="J195" s="129"/>
      <c r="K195" s="129"/>
      <c r="L195" s="129"/>
      <c r="M195" s="129"/>
      <c r="N195" s="129"/>
      <c r="O195" s="129"/>
      <c r="P195" s="129"/>
      <c r="Q195" s="129"/>
      <c r="R195" s="129"/>
    </row>
    <row r="196" spans="1:18" ht="160" customHeight="1">
      <c r="A196" s="129">
        <v>194</v>
      </c>
      <c r="B196" s="129"/>
      <c r="C196" s="129" t="s">
        <v>1062</v>
      </c>
      <c r="D196" s="135" t="s">
        <v>1063</v>
      </c>
      <c r="E196" s="129" t="s">
        <v>265</v>
      </c>
      <c r="F196" s="129" t="s">
        <v>1550</v>
      </c>
      <c r="G196" s="129"/>
      <c r="H196" s="129"/>
      <c r="I196" s="129"/>
      <c r="J196" s="129"/>
      <c r="K196" s="129"/>
      <c r="L196" s="129"/>
      <c r="M196" s="129"/>
      <c r="N196" s="129"/>
      <c r="O196" s="129"/>
      <c r="P196" s="129"/>
      <c r="Q196" s="129"/>
      <c r="R196" s="129"/>
    </row>
    <row r="197" spans="1:18" ht="160" customHeight="1">
      <c r="A197" s="129">
        <v>195</v>
      </c>
      <c r="B197" s="139"/>
      <c r="C197" s="139"/>
      <c r="D197" s="129" t="s">
        <v>804</v>
      </c>
      <c r="E197" s="129" t="s">
        <v>265</v>
      </c>
      <c r="F197" s="129" t="s">
        <v>1441</v>
      </c>
      <c r="G197" s="129"/>
      <c r="H197" s="129"/>
      <c r="I197" s="129" t="s">
        <v>805</v>
      </c>
      <c r="J197" s="129"/>
      <c r="K197" s="129"/>
      <c r="L197" s="129"/>
      <c r="M197" s="129"/>
      <c r="N197" s="129"/>
      <c r="O197" s="129"/>
      <c r="P197" s="129"/>
      <c r="Q197" s="129"/>
      <c r="R197" s="129"/>
    </row>
    <row r="198" spans="1:18" ht="160" customHeight="1">
      <c r="A198" s="129">
        <v>196</v>
      </c>
      <c r="B198" s="129"/>
      <c r="C198" s="149" t="s">
        <v>521</v>
      </c>
      <c r="D198" s="7" t="s">
        <v>522</v>
      </c>
      <c r="E198" s="140" t="s">
        <v>1539</v>
      </c>
      <c r="F198" s="148" t="s">
        <v>1209</v>
      </c>
      <c r="G198" s="129"/>
      <c r="H198" s="129"/>
      <c r="I198" s="140" t="s">
        <v>523</v>
      </c>
      <c r="J198" s="129"/>
      <c r="K198" s="141"/>
      <c r="L198" s="129"/>
      <c r="M198" s="129"/>
      <c r="N198" s="129"/>
      <c r="O198" s="129"/>
      <c r="P198" s="129"/>
      <c r="Q198" s="129"/>
      <c r="R198" s="129"/>
    </row>
    <row r="199" spans="1:18" ht="106.75" customHeight="1">
      <c r="A199" s="129">
        <v>197</v>
      </c>
      <c r="B199" s="175">
        <v>46048</v>
      </c>
      <c r="C199" s="176"/>
      <c r="D199" s="135" t="s">
        <v>988</v>
      </c>
      <c r="E199" s="129" t="s">
        <v>264</v>
      </c>
      <c r="F199" s="129" t="s">
        <v>1308</v>
      </c>
      <c r="G199" s="129"/>
      <c r="H199" s="129"/>
      <c r="I199" s="129" t="s">
        <v>989</v>
      </c>
      <c r="J199" s="129"/>
      <c r="K199" s="129" t="s">
        <v>990</v>
      </c>
      <c r="L199" s="129"/>
      <c r="M199" s="129"/>
      <c r="N199" s="129"/>
      <c r="O199" s="129"/>
      <c r="P199" s="129"/>
      <c r="Q199" s="129"/>
      <c r="R199" s="129"/>
    </row>
    <row r="200" spans="1:18" ht="133.25" customHeight="1">
      <c r="A200" s="129">
        <v>198</v>
      </c>
      <c r="B200" s="137"/>
      <c r="C200" s="151" t="s">
        <v>719</v>
      </c>
      <c r="D200" s="11" t="s">
        <v>720</v>
      </c>
      <c r="E200" s="7" t="s">
        <v>634</v>
      </c>
      <c r="F200" s="12" t="s">
        <v>1436</v>
      </c>
      <c r="G200" s="129"/>
      <c r="H200" s="154"/>
      <c r="I200" s="16" t="s">
        <v>721</v>
      </c>
      <c r="J200" s="154"/>
      <c r="K200" s="151" t="s">
        <v>785</v>
      </c>
      <c r="L200" s="129"/>
      <c r="M200" s="129"/>
      <c r="N200" s="129"/>
      <c r="O200" s="129"/>
      <c r="P200" s="129"/>
      <c r="Q200" s="129"/>
      <c r="R200" s="129"/>
    </row>
    <row r="201" spans="1:18" ht="160" customHeight="1">
      <c r="A201" s="129">
        <v>199</v>
      </c>
      <c r="B201" s="143"/>
      <c r="C201" s="135" t="s">
        <v>873</v>
      </c>
      <c r="D201" s="135" t="s">
        <v>874</v>
      </c>
      <c r="E201" s="129" t="s">
        <v>264</v>
      </c>
      <c r="F201" s="129" t="s">
        <v>1545</v>
      </c>
      <c r="G201" s="129"/>
      <c r="H201" s="129"/>
      <c r="I201" s="129" t="s">
        <v>875</v>
      </c>
      <c r="J201" s="129"/>
      <c r="K201" s="151"/>
      <c r="L201" s="129"/>
      <c r="M201" s="129"/>
      <c r="N201" s="129"/>
      <c r="O201" s="129"/>
      <c r="P201" s="129"/>
      <c r="Q201" s="129"/>
      <c r="R201" s="129"/>
    </row>
    <row r="202" spans="1:18" ht="133.25" customHeight="1">
      <c r="A202" s="129">
        <v>200</v>
      </c>
      <c r="B202" s="129"/>
      <c r="C202" s="129"/>
      <c r="D202" s="129" t="s">
        <v>1500</v>
      </c>
      <c r="E202" s="129" t="s">
        <v>1539</v>
      </c>
      <c r="F202" s="129" t="s">
        <v>1504</v>
      </c>
      <c r="G202" s="129"/>
      <c r="H202" s="129"/>
      <c r="I202" s="129" t="s">
        <v>523</v>
      </c>
      <c r="J202" s="129"/>
      <c r="K202" s="129" t="s">
        <v>1536</v>
      </c>
      <c r="L202" s="129"/>
      <c r="M202" s="129"/>
      <c r="N202" s="129"/>
      <c r="O202" s="129"/>
      <c r="P202" s="129"/>
      <c r="Q202" s="129"/>
      <c r="R202" s="129"/>
    </row>
    <row r="203" spans="1:18" ht="133.25" customHeight="1">
      <c r="A203" s="129">
        <v>201</v>
      </c>
      <c r="B203" s="129"/>
      <c r="C203" s="129" t="s">
        <v>927</v>
      </c>
      <c r="D203" s="129" t="s">
        <v>928</v>
      </c>
      <c r="E203" s="129" t="s">
        <v>264</v>
      </c>
      <c r="F203" s="129" t="s">
        <v>1286</v>
      </c>
      <c r="G203" s="129" t="s">
        <v>929</v>
      </c>
      <c r="H203" s="129"/>
      <c r="I203" s="129" t="s">
        <v>930</v>
      </c>
      <c r="J203" s="129"/>
      <c r="K203" s="129"/>
      <c r="L203" s="129"/>
      <c r="M203" s="129"/>
      <c r="N203" s="129"/>
      <c r="O203" s="129"/>
      <c r="P203" s="129"/>
      <c r="Q203" s="129"/>
      <c r="R203" s="129"/>
    </row>
    <row r="204" spans="1:18" ht="213.25" customHeight="1">
      <c r="A204" s="129">
        <v>202</v>
      </c>
      <c r="B204" s="137"/>
      <c r="C204" s="129"/>
      <c r="D204" s="129" t="s">
        <v>1154</v>
      </c>
      <c r="E204" s="129" t="s">
        <v>1539</v>
      </c>
      <c r="F204" s="129" t="s">
        <v>524</v>
      </c>
      <c r="G204" s="129" t="s">
        <v>525</v>
      </c>
      <c r="H204" s="129"/>
      <c r="I204" s="129" t="s">
        <v>526</v>
      </c>
      <c r="J204" s="129"/>
      <c r="K204" s="129"/>
      <c r="L204" s="129"/>
      <c r="M204" s="129"/>
      <c r="N204" s="129"/>
      <c r="O204" s="129"/>
      <c r="P204" s="129"/>
      <c r="Q204" s="129"/>
      <c r="R204" s="129"/>
    </row>
    <row r="205" spans="1:18" ht="240" customHeight="1">
      <c r="A205" s="129">
        <v>203</v>
      </c>
      <c r="B205" s="134"/>
      <c r="C205" s="129" t="s">
        <v>1413</v>
      </c>
      <c r="D205" s="129" t="s">
        <v>1409</v>
      </c>
      <c r="E205" s="129" t="s">
        <v>1539</v>
      </c>
      <c r="F205" s="129" t="s">
        <v>1527</v>
      </c>
      <c r="G205" s="129"/>
      <c r="H205" s="154"/>
      <c r="I205" s="129" t="s">
        <v>1410</v>
      </c>
      <c r="J205" s="129"/>
      <c r="K205" s="129" t="s">
        <v>1414</v>
      </c>
      <c r="L205" s="129"/>
      <c r="M205" s="129"/>
      <c r="N205" s="129"/>
      <c r="O205" s="129"/>
      <c r="P205" s="129"/>
      <c r="Q205" s="129"/>
      <c r="R205" s="129"/>
    </row>
    <row r="206" spans="1:18" ht="213.25" customHeight="1">
      <c r="A206" s="129">
        <v>204</v>
      </c>
      <c r="B206" s="129"/>
      <c r="C206" s="156" t="s">
        <v>820</v>
      </c>
      <c r="D206" s="20" t="s">
        <v>1455</v>
      </c>
      <c r="E206" s="129" t="s">
        <v>264</v>
      </c>
      <c r="F206" s="148" t="s">
        <v>1456</v>
      </c>
      <c r="G206" s="129"/>
      <c r="H206" s="129"/>
      <c r="I206" s="148" t="s">
        <v>821</v>
      </c>
      <c r="J206" s="129"/>
      <c r="K206" s="14"/>
      <c r="L206" s="129"/>
      <c r="M206" s="129"/>
      <c r="N206" s="129"/>
      <c r="O206" s="129"/>
      <c r="P206" s="129"/>
      <c r="Q206" s="129"/>
      <c r="R206" s="129"/>
    </row>
    <row r="207" spans="1:18" ht="186.75" customHeight="1">
      <c r="A207" s="129">
        <v>205</v>
      </c>
      <c r="B207" s="129"/>
      <c r="C207" s="129"/>
      <c r="D207" s="129" t="s">
        <v>527</v>
      </c>
      <c r="E207" s="10" t="s">
        <v>265</v>
      </c>
      <c r="F207" s="129" t="s">
        <v>528</v>
      </c>
      <c r="G207" s="129"/>
      <c r="H207" s="129"/>
      <c r="I207" s="129" t="s">
        <v>529</v>
      </c>
      <c r="J207" s="129"/>
      <c r="K207" s="129"/>
      <c r="L207" s="129"/>
      <c r="M207" s="129"/>
      <c r="N207" s="129"/>
      <c r="O207" s="129"/>
      <c r="P207" s="129"/>
      <c r="Q207" s="129"/>
      <c r="R207" s="129"/>
    </row>
    <row r="208" spans="1:18" ht="160" customHeight="1">
      <c r="A208" s="129">
        <v>206</v>
      </c>
      <c r="B208" s="135"/>
      <c r="C208" s="135"/>
      <c r="D208" s="135" t="s">
        <v>530</v>
      </c>
      <c r="E208" s="129" t="s">
        <v>1539</v>
      </c>
      <c r="F208" s="129" t="s">
        <v>1210</v>
      </c>
      <c r="G208" s="129" t="s">
        <v>531</v>
      </c>
      <c r="H208" s="129"/>
      <c r="I208" s="129" t="s">
        <v>1796</v>
      </c>
      <c r="J208" s="129"/>
      <c r="K208" s="129"/>
      <c r="L208" s="129"/>
      <c r="M208" s="129"/>
      <c r="N208" s="129"/>
      <c r="O208" s="129"/>
      <c r="P208" s="129"/>
      <c r="Q208" s="129"/>
      <c r="R208" s="129"/>
    </row>
    <row r="209" spans="1:18" ht="106.75" customHeight="1">
      <c r="A209" s="129">
        <v>207</v>
      </c>
      <c r="B209" s="137">
        <v>46048</v>
      </c>
      <c r="C209" s="129" t="s">
        <v>1012</v>
      </c>
      <c r="D209" s="129" t="s">
        <v>530</v>
      </c>
      <c r="E209" s="129" t="s">
        <v>1539</v>
      </c>
      <c r="F209" s="129" t="s">
        <v>1450</v>
      </c>
      <c r="G209" s="129" t="s">
        <v>1013</v>
      </c>
      <c r="H209" s="129"/>
      <c r="I209" s="129" t="s">
        <v>1369</v>
      </c>
      <c r="J209" s="129"/>
      <c r="K209" s="151" t="s">
        <v>1370</v>
      </c>
      <c r="L209" s="129"/>
      <c r="M209" s="129"/>
      <c r="N209" s="129"/>
      <c r="O209" s="129"/>
      <c r="P209" s="129"/>
      <c r="Q209" s="129"/>
      <c r="R209" s="129"/>
    </row>
    <row r="210" spans="1:18" ht="186.75" customHeight="1">
      <c r="A210" s="129">
        <v>208</v>
      </c>
      <c r="B210" s="137"/>
      <c r="C210" s="129" t="s">
        <v>1057</v>
      </c>
      <c r="D210" s="11" t="s">
        <v>1058</v>
      </c>
      <c r="E210" s="129" t="s">
        <v>1059</v>
      </c>
      <c r="F210" s="12" t="s">
        <v>1670</v>
      </c>
      <c r="G210" s="154"/>
      <c r="H210" s="129"/>
      <c r="I210" s="14"/>
      <c r="J210" s="129"/>
      <c r="K210" s="154"/>
      <c r="L210" s="129"/>
      <c r="M210" s="129"/>
      <c r="N210" s="129"/>
      <c r="O210" s="129"/>
      <c r="P210" s="129"/>
      <c r="Q210" s="129"/>
      <c r="R210" s="129"/>
    </row>
    <row r="211" spans="1:18" ht="106.75" customHeight="1">
      <c r="A211" s="129">
        <v>209</v>
      </c>
      <c r="B211" s="129"/>
      <c r="C211" s="140" t="s">
        <v>643</v>
      </c>
      <c r="D211" s="7" t="s">
        <v>644</v>
      </c>
      <c r="E211" s="140" t="s">
        <v>264</v>
      </c>
      <c r="F211" s="148" t="s">
        <v>1227</v>
      </c>
      <c r="G211" s="129" t="s">
        <v>645</v>
      </c>
      <c r="H211" s="129"/>
      <c r="I211" s="8" t="s">
        <v>646</v>
      </c>
      <c r="J211" s="129"/>
      <c r="K211" s="141"/>
      <c r="L211" s="129"/>
      <c r="M211" s="129"/>
      <c r="N211" s="129"/>
      <c r="O211" s="129"/>
      <c r="P211" s="129"/>
      <c r="Q211" s="129"/>
      <c r="R211" s="129"/>
    </row>
    <row r="212" spans="1:18" ht="133.25" customHeight="1">
      <c r="A212" s="129">
        <v>210</v>
      </c>
      <c r="B212" s="129"/>
      <c r="C212" s="129"/>
      <c r="D212" s="129" t="s">
        <v>532</v>
      </c>
      <c r="E212" s="129" t="s">
        <v>265</v>
      </c>
      <c r="F212" s="129" t="s">
        <v>1427</v>
      </c>
      <c r="G212" s="129"/>
      <c r="H212" s="129"/>
      <c r="I212" s="129" t="s">
        <v>533</v>
      </c>
      <c r="J212" s="129"/>
      <c r="K212" s="129"/>
      <c r="L212" s="129"/>
      <c r="M212" s="129"/>
      <c r="N212" s="129"/>
      <c r="O212" s="129"/>
      <c r="P212" s="129"/>
      <c r="Q212" s="129"/>
      <c r="R212" s="129"/>
    </row>
    <row r="213" spans="1:18" ht="320" customHeight="1">
      <c r="A213" s="129">
        <v>211</v>
      </c>
      <c r="B213" s="137"/>
      <c r="C213" s="129"/>
      <c r="D213" s="129" t="s">
        <v>534</v>
      </c>
      <c r="E213" s="129" t="s">
        <v>1539</v>
      </c>
      <c r="F213" s="129" t="s">
        <v>1211</v>
      </c>
      <c r="G213" s="154"/>
      <c r="H213" s="154"/>
      <c r="I213" s="129" t="s">
        <v>535</v>
      </c>
      <c r="J213" s="154"/>
      <c r="K213" s="129"/>
      <c r="L213" s="129"/>
      <c r="M213" s="129"/>
      <c r="N213" s="129"/>
      <c r="O213" s="129"/>
      <c r="P213" s="129"/>
      <c r="Q213" s="129"/>
      <c r="R213" s="129"/>
    </row>
    <row r="214" spans="1:18" ht="160" customHeight="1">
      <c r="A214" s="129">
        <v>212</v>
      </c>
      <c r="B214" s="137"/>
      <c r="C214" s="129" t="s">
        <v>932</v>
      </c>
      <c r="D214" s="129" t="s">
        <v>1288</v>
      </c>
      <c r="E214" s="129" t="s">
        <v>266</v>
      </c>
      <c r="F214" s="129" t="s">
        <v>1289</v>
      </c>
      <c r="G214" s="154"/>
      <c r="H214" s="129"/>
      <c r="I214" s="129" t="s">
        <v>933</v>
      </c>
      <c r="J214" s="129"/>
      <c r="K214" s="154"/>
      <c r="L214" s="129"/>
      <c r="M214" s="129"/>
      <c r="N214" s="129"/>
      <c r="O214" s="129"/>
      <c r="P214" s="129"/>
      <c r="Q214" s="129"/>
      <c r="R214" s="129"/>
    </row>
    <row r="215" spans="1:18" ht="240" customHeight="1">
      <c r="A215" s="129">
        <v>213</v>
      </c>
      <c r="B215" s="129"/>
      <c r="C215" s="129" t="s">
        <v>934</v>
      </c>
      <c r="D215" s="129" t="s">
        <v>1290</v>
      </c>
      <c r="E215" s="129" t="s">
        <v>264</v>
      </c>
      <c r="F215" s="129" t="s">
        <v>1446</v>
      </c>
      <c r="G215" s="129"/>
      <c r="H215" s="129"/>
      <c r="I215" s="129" t="s">
        <v>935</v>
      </c>
      <c r="J215" s="129"/>
      <c r="K215" s="129"/>
      <c r="L215" s="129"/>
      <c r="M215" s="129"/>
      <c r="N215" s="129"/>
      <c r="O215" s="129"/>
      <c r="P215" s="129"/>
      <c r="Q215" s="129"/>
      <c r="R215" s="129"/>
    </row>
    <row r="216" spans="1:18" ht="160" customHeight="1">
      <c r="A216" s="129">
        <v>214</v>
      </c>
      <c r="B216" s="134"/>
      <c r="C216" s="129" t="s">
        <v>936</v>
      </c>
      <c r="D216" s="129" t="s">
        <v>1291</v>
      </c>
      <c r="E216" s="129" t="s">
        <v>264</v>
      </c>
      <c r="F216" s="129" t="s">
        <v>1548</v>
      </c>
      <c r="G216" s="154"/>
      <c r="H216" s="154"/>
      <c r="I216" s="129" t="s">
        <v>937</v>
      </c>
      <c r="J216" s="129"/>
      <c r="K216" s="154"/>
      <c r="L216" s="129"/>
      <c r="M216" s="129"/>
      <c r="N216" s="129"/>
      <c r="O216" s="129"/>
      <c r="P216" s="129"/>
      <c r="Q216" s="129"/>
      <c r="R216" s="129"/>
    </row>
    <row r="217" spans="1:18" ht="213.25" customHeight="1">
      <c r="A217" s="129">
        <v>215</v>
      </c>
      <c r="B217" s="129"/>
      <c r="C217" s="156" t="s">
        <v>949</v>
      </c>
      <c r="D217" s="129" t="s">
        <v>950</v>
      </c>
      <c r="E217" s="129" t="s">
        <v>266</v>
      </c>
      <c r="F217" s="13" t="s">
        <v>1448</v>
      </c>
      <c r="G217" s="129" t="s">
        <v>951</v>
      </c>
      <c r="H217" s="129"/>
      <c r="I217" s="155" t="s">
        <v>952</v>
      </c>
      <c r="J217" s="129"/>
      <c r="K217" s="14"/>
      <c r="L217" s="129"/>
      <c r="M217" s="129"/>
      <c r="N217" s="129"/>
      <c r="O217" s="129"/>
      <c r="P217" s="129"/>
      <c r="Q217" s="129"/>
      <c r="R217" s="129"/>
    </row>
    <row r="218" spans="1:18" ht="160" customHeight="1">
      <c r="A218" s="129">
        <v>216</v>
      </c>
      <c r="B218" s="135"/>
      <c r="C218" s="135" t="s">
        <v>835</v>
      </c>
      <c r="D218" s="129" t="s">
        <v>836</v>
      </c>
      <c r="E218" s="129" t="s">
        <v>837</v>
      </c>
      <c r="F218" s="129" t="s">
        <v>1258</v>
      </c>
      <c r="G218" s="129"/>
      <c r="H218" s="129"/>
      <c r="I218" s="129" t="s">
        <v>838</v>
      </c>
      <c r="J218" s="129"/>
      <c r="K218" s="129"/>
      <c r="L218" s="129"/>
      <c r="M218" s="129"/>
      <c r="N218" s="129"/>
      <c r="O218" s="129"/>
      <c r="P218" s="129"/>
      <c r="Q218" s="129"/>
      <c r="R218" s="129"/>
    </row>
    <row r="219" spans="1:18" ht="213.25" customHeight="1">
      <c r="A219" s="129">
        <v>217</v>
      </c>
      <c r="B219" s="137"/>
      <c r="C219" s="129"/>
      <c r="D219" s="129" t="s">
        <v>829</v>
      </c>
      <c r="E219" s="129" t="s">
        <v>265</v>
      </c>
      <c r="F219" s="129" t="s">
        <v>830</v>
      </c>
      <c r="G219" s="129"/>
      <c r="H219" s="154"/>
      <c r="I219" s="129" t="s">
        <v>831</v>
      </c>
      <c r="J219" s="141"/>
      <c r="K219" s="141"/>
      <c r="L219" s="129"/>
      <c r="M219" s="129"/>
      <c r="N219" s="129"/>
      <c r="O219" s="129"/>
      <c r="P219" s="129"/>
      <c r="Q219" s="129"/>
      <c r="R219" s="129"/>
    </row>
    <row r="220" spans="1:18" ht="106.75" customHeight="1">
      <c r="A220" s="129">
        <v>218</v>
      </c>
      <c r="B220" s="143"/>
      <c r="C220" s="135" t="s">
        <v>811</v>
      </c>
      <c r="D220" s="129" t="s">
        <v>812</v>
      </c>
      <c r="E220" s="129" t="s">
        <v>266</v>
      </c>
      <c r="F220" s="129" t="s">
        <v>1930</v>
      </c>
      <c r="G220" s="129"/>
      <c r="H220" s="129"/>
      <c r="I220" s="129" t="s">
        <v>1931</v>
      </c>
      <c r="J220" s="154"/>
      <c r="K220" s="129"/>
      <c r="L220" s="129"/>
      <c r="M220" s="129"/>
      <c r="N220" s="129"/>
      <c r="O220" s="129"/>
      <c r="P220" s="129"/>
      <c r="Q220" s="129"/>
      <c r="R220" s="129"/>
    </row>
    <row r="221" spans="1:18" ht="160" customHeight="1">
      <c r="A221" s="129">
        <v>219</v>
      </c>
      <c r="B221" s="129"/>
      <c r="C221" s="129" t="s">
        <v>632</v>
      </c>
      <c r="D221" s="129" t="s">
        <v>633</v>
      </c>
      <c r="E221" s="135" t="s">
        <v>634</v>
      </c>
      <c r="F221" s="129" t="s">
        <v>1434</v>
      </c>
      <c r="G221" s="129" t="s">
        <v>635</v>
      </c>
      <c r="H221" s="129"/>
      <c r="I221" s="129" t="s">
        <v>636</v>
      </c>
      <c r="J221" s="129"/>
      <c r="K221" s="141"/>
      <c r="L221" s="129"/>
      <c r="M221" s="129"/>
      <c r="N221" s="129"/>
      <c r="O221" s="129"/>
      <c r="P221" s="129"/>
      <c r="Q221" s="129"/>
      <c r="R221" s="129"/>
    </row>
    <row r="222" spans="1:18" ht="133.25" customHeight="1">
      <c r="A222" s="129">
        <v>220</v>
      </c>
      <c r="B222" s="129"/>
      <c r="C222" s="129" t="s">
        <v>1088</v>
      </c>
      <c r="D222" s="135" t="s">
        <v>1327</v>
      </c>
      <c r="E222" s="129" t="s">
        <v>266</v>
      </c>
      <c r="F222" s="129" t="s">
        <v>1478</v>
      </c>
      <c r="G222" s="129"/>
      <c r="H222" s="129" t="s">
        <v>1089</v>
      </c>
      <c r="I222" s="129" t="s">
        <v>1671</v>
      </c>
      <c r="J222" s="129"/>
      <c r="K222" s="129"/>
      <c r="L222" s="129"/>
      <c r="M222" s="129"/>
      <c r="N222" s="129"/>
      <c r="O222" s="129"/>
      <c r="P222" s="129"/>
      <c r="Q222" s="129"/>
      <c r="R222" s="129"/>
    </row>
    <row r="223" spans="1:18" ht="213.25" customHeight="1">
      <c r="A223" s="129">
        <v>221</v>
      </c>
      <c r="B223" s="129"/>
      <c r="C223" s="129" t="s">
        <v>729</v>
      </c>
      <c r="D223" s="129" t="s">
        <v>730</v>
      </c>
      <c r="E223" s="129" t="s">
        <v>264</v>
      </c>
      <c r="F223" s="129" t="s">
        <v>1437</v>
      </c>
      <c r="G223" s="129" t="s">
        <v>731</v>
      </c>
      <c r="H223" s="129"/>
      <c r="I223" s="129" t="s">
        <v>1672</v>
      </c>
      <c r="J223" s="129"/>
      <c r="K223" s="129" t="s">
        <v>732</v>
      </c>
      <c r="L223" s="129"/>
      <c r="M223" s="129"/>
      <c r="N223" s="129"/>
      <c r="O223" s="129"/>
      <c r="P223" s="129"/>
      <c r="Q223" s="129"/>
      <c r="R223" s="129"/>
    </row>
    <row r="224" spans="1:18" ht="186.75" customHeight="1">
      <c r="A224" s="129">
        <v>222</v>
      </c>
      <c r="B224" s="129"/>
      <c r="C224" s="129" t="s">
        <v>715</v>
      </c>
      <c r="D224" s="129" t="s">
        <v>716</v>
      </c>
      <c r="E224" s="129" t="s">
        <v>264</v>
      </c>
      <c r="F224" s="129" t="s">
        <v>717</v>
      </c>
      <c r="G224" s="129"/>
      <c r="H224" s="129"/>
      <c r="I224" s="129" t="s">
        <v>718</v>
      </c>
      <c r="J224" s="129"/>
      <c r="K224" s="129"/>
      <c r="L224" s="129"/>
      <c r="M224" s="129"/>
      <c r="N224" s="129"/>
      <c r="O224" s="129"/>
      <c r="P224" s="129"/>
      <c r="Q224" s="129"/>
      <c r="R224" s="129"/>
    </row>
    <row r="225" spans="1:18" ht="213.25" customHeight="1">
      <c r="A225" s="129">
        <v>223</v>
      </c>
      <c r="B225" s="129"/>
      <c r="C225" s="149" t="s">
        <v>1328</v>
      </c>
      <c r="D225" s="20" t="s">
        <v>1329</v>
      </c>
      <c r="E225" s="10" t="s">
        <v>579</v>
      </c>
      <c r="F225" s="140" t="s">
        <v>1381</v>
      </c>
      <c r="G225" s="129" t="s">
        <v>1382</v>
      </c>
      <c r="H225" s="129"/>
      <c r="I225" s="140" t="s">
        <v>1383</v>
      </c>
      <c r="J225" s="129"/>
      <c r="K225" s="141"/>
      <c r="L225" s="129"/>
      <c r="M225" s="129"/>
      <c r="N225" s="129"/>
      <c r="O225" s="129"/>
      <c r="P225" s="129"/>
      <c r="Q225" s="129"/>
      <c r="R225" s="129"/>
    </row>
    <row r="226" spans="1:18" ht="133.25" customHeight="1">
      <c r="A226" s="129">
        <v>224</v>
      </c>
      <c r="B226" s="135"/>
      <c r="C226" s="135" t="s">
        <v>1234</v>
      </c>
      <c r="D226" s="129" t="s">
        <v>683</v>
      </c>
      <c r="E226" s="129" t="s">
        <v>264</v>
      </c>
      <c r="F226" s="129" t="s">
        <v>1235</v>
      </c>
      <c r="G226" s="129" t="s">
        <v>684</v>
      </c>
      <c r="H226" s="129"/>
      <c r="I226" s="129" t="s">
        <v>685</v>
      </c>
      <c r="J226" s="129"/>
      <c r="K226" s="129"/>
      <c r="L226" s="129"/>
      <c r="M226" s="129"/>
      <c r="N226" s="129"/>
      <c r="O226" s="129"/>
      <c r="P226" s="129"/>
      <c r="Q226" s="129"/>
      <c r="R226" s="129"/>
    </row>
    <row r="227" spans="1:18" ht="186.75" customHeight="1">
      <c r="A227" s="129">
        <v>225</v>
      </c>
      <c r="B227" s="137">
        <v>46048</v>
      </c>
      <c r="C227" s="129" t="s">
        <v>857</v>
      </c>
      <c r="D227" s="129" t="s">
        <v>858</v>
      </c>
      <c r="E227" s="129" t="s">
        <v>1539</v>
      </c>
      <c r="F227" s="129" t="s">
        <v>1267</v>
      </c>
      <c r="G227" s="129" t="s">
        <v>684</v>
      </c>
      <c r="H227" s="129"/>
      <c r="I227" s="129" t="s">
        <v>859</v>
      </c>
      <c r="J227" s="129"/>
      <c r="K227" s="129" t="s">
        <v>363</v>
      </c>
      <c r="L227" s="129"/>
      <c r="M227" s="129"/>
      <c r="N227" s="129"/>
      <c r="O227" s="129"/>
      <c r="P227" s="129"/>
      <c r="Q227" s="129"/>
      <c r="R227" s="129"/>
    </row>
    <row r="228" spans="1:18" ht="133.25" customHeight="1">
      <c r="A228" s="129">
        <v>226</v>
      </c>
      <c r="B228" s="143"/>
      <c r="C228" s="135"/>
      <c r="D228" s="129" t="s">
        <v>1404</v>
      </c>
      <c r="E228" s="129" t="s">
        <v>1539</v>
      </c>
      <c r="F228" s="129" t="s">
        <v>1405</v>
      </c>
      <c r="G228" s="129"/>
      <c r="H228" s="129"/>
      <c r="I228" s="129" t="s">
        <v>1406</v>
      </c>
      <c r="J228" s="129"/>
      <c r="K228" s="154" t="s">
        <v>1569</v>
      </c>
      <c r="L228" s="129"/>
      <c r="M228" s="129"/>
      <c r="N228" s="129"/>
      <c r="O228" s="129"/>
      <c r="P228" s="129"/>
      <c r="Q228" s="129"/>
      <c r="R228" s="129"/>
    </row>
    <row r="229" spans="1:18" ht="106.75" customHeight="1">
      <c r="A229" s="129">
        <v>227</v>
      </c>
      <c r="B229" s="135"/>
      <c r="C229" s="135" t="s">
        <v>606</v>
      </c>
      <c r="D229" s="129" t="s">
        <v>607</v>
      </c>
      <c r="E229" s="129" t="s">
        <v>264</v>
      </c>
      <c r="F229" s="129" t="s">
        <v>1224</v>
      </c>
      <c r="G229" s="129" t="s">
        <v>608</v>
      </c>
      <c r="H229" s="129"/>
      <c r="I229" s="129" t="s">
        <v>609</v>
      </c>
      <c r="J229" s="129"/>
      <c r="K229" s="129"/>
      <c r="L229" s="129"/>
      <c r="M229" s="129"/>
      <c r="N229" s="129"/>
      <c r="O229" s="129"/>
      <c r="P229" s="129"/>
      <c r="Q229" s="129"/>
      <c r="R229" s="129"/>
    </row>
    <row r="230" spans="1:18" ht="186.75" customHeight="1">
      <c r="A230" s="129">
        <v>228</v>
      </c>
      <c r="B230" s="129"/>
      <c r="C230" s="149" t="s">
        <v>794</v>
      </c>
      <c r="D230" s="20" t="s">
        <v>795</v>
      </c>
      <c r="E230" s="140" t="s">
        <v>265</v>
      </c>
      <c r="F230" s="148" t="s">
        <v>1250</v>
      </c>
      <c r="G230" s="129"/>
      <c r="H230" s="129"/>
      <c r="I230" s="140" t="s">
        <v>796</v>
      </c>
      <c r="J230" s="129"/>
      <c r="K230" s="141"/>
      <c r="L230" s="129"/>
      <c r="M230" s="129"/>
      <c r="N230" s="129"/>
      <c r="O230" s="129"/>
      <c r="P230" s="129"/>
      <c r="Q230" s="129"/>
      <c r="R230" s="129"/>
    </row>
    <row r="231" spans="1:18" ht="160" customHeight="1">
      <c r="A231" s="129">
        <v>229</v>
      </c>
      <c r="B231" s="129"/>
      <c r="C231" s="129" t="s">
        <v>606</v>
      </c>
      <c r="D231" s="129" t="s">
        <v>920</v>
      </c>
      <c r="E231" s="129" t="s">
        <v>266</v>
      </c>
      <c r="F231" s="129" t="s">
        <v>1283</v>
      </c>
      <c r="G231" s="129" t="s">
        <v>608</v>
      </c>
      <c r="H231" s="129"/>
      <c r="I231" s="129" t="s">
        <v>921</v>
      </c>
      <c r="J231" s="129"/>
      <c r="K231" s="129"/>
      <c r="L231" s="129"/>
      <c r="M231" s="129"/>
      <c r="N231" s="129"/>
      <c r="O231" s="129"/>
      <c r="P231" s="129"/>
      <c r="Q231" s="129"/>
      <c r="R231" s="129"/>
    </row>
    <row r="232" spans="1:18" ht="160" customHeight="1">
      <c r="A232" s="129">
        <v>230</v>
      </c>
      <c r="B232" s="129"/>
      <c r="C232" s="129" t="s">
        <v>536</v>
      </c>
      <c r="D232" s="129" t="s">
        <v>537</v>
      </c>
      <c r="E232" s="129" t="s">
        <v>265</v>
      </c>
      <c r="F232" s="129" t="s">
        <v>1212</v>
      </c>
      <c r="G232" s="129"/>
      <c r="H232" s="129"/>
      <c r="I232" s="129" t="s">
        <v>538</v>
      </c>
      <c r="J232" s="129"/>
      <c r="K232" s="129"/>
      <c r="L232" s="129"/>
      <c r="M232" s="129"/>
      <c r="N232" s="129"/>
      <c r="O232" s="129"/>
      <c r="P232" s="129"/>
      <c r="Q232" s="129"/>
      <c r="R232" s="129"/>
    </row>
    <row r="233" spans="1:18" ht="160" customHeight="1">
      <c r="A233" s="129">
        <v>231</v>
      </c>
      <c r="B233" s="143"/>
      <c r="C233" s="135" t="s">
        <v>1359</v>
      </c>
      <c r="D233" s="129" t="s">
        <v>1360</v>
      </c>
      <c r="E233" s="129" t="s">
        <v>1339</v>
      </c>
      <c r="F233" s="129" t="s">
        <v>1438</v>
      </c>
      <c r="G233" s="129" t="s">
        <v>1361</v>
      </c>
      <c r="H233" s="129"/>
      <c r="I233" s="129" t="s">
        <v>1362</v>
      </c>
      <c r="J233" s="129"/>
      <c r="K233" s="129" t="s">
        <v>1570</v>
      </c>
      <c r="L233" s="129"/>
      <c r="M233" s="129"/>
      <c r="N233" s="129"/>
      <c r="O233" s="129"/>
      <c r="P233" s="129"/>
      <c r="Q233" s="129"/>
      <c r="R233" s="129"/>
    </row>
    <row r="234" spans="1:18" ht="186.75" customHeight="1">
      <c r="A234" s="129">
        <v>232</v>
      </c>
      <c r="B234" s="129"/>
      <c r="C234" s="22"/>
      <c r="D234" s="7" t="s">
        <v>1298</v>
      </c>
      <c r="E234" s="10" t="s">
        <v>1539</v>
      </c>
      <c r="F234" s="148" t="s">
        <v>1299</v>
      </c>
      <c r="G234" s="129"/>
      <c r="H234" s="129"/>
      <c r="I234" s="148" t="s">
        <v>958</v>
      </c>
      <c r="J234" s="129"/>
      <c r="K234" s="18"/>
      <c r="L234" s="129"/>
      <c r="M234" s="129"/>
      <c r="N234" s="129"/>
      <c r="O234" s="129"/>
      <c r="P234" s="129"/>
      <c r="Q234" s="129"/>
      <c r="R234" s="129"/>
    </row>
    <row r="235" spans="1:18" ht="106.75" customHeight="1">
      <c r="A235" s="129">
        <v>233</v>
      </c>
      <c r="B235" s="135"/>
      <c r="C235" s="135" t="s">
        <v>542</v>
      </c>
      <c r="D235" s="135" t="s">
        <v>1350</v>
      </c>
      <c r="E235" s="129" t="s">
        <v>1539</v>
      </c>
      <c r="F235" s="129" t="s">
        <v>1214</v>
      </c>
      <c r="G235" s="129"/>
      <c r="H235" s="129"/>
      <c r="I235" s="129" t="s">
        <v>1797</v>
      </c>
      <c r="J235" s="129"/>
      <c r="K235" s="129" t="s">
        <v>1351</v>
      </c>
      <c r="L235" s="129"/>
      <c r="M235" s="129"/>
      <c r="N235" s="129"/>
      <c r="O235" s="129"/>
      <c r="P235" s="129"/>
      <c r="Q235" s="129"/>
      <c r="R235" s="129"/>
    </row>
    <row r="236" spans="1:18" ht="213.25" customHeight="1">
      <c r="A236" s="129">
        <v>234</v>
      </c>
      <c r="B236" s="147"/>
      <c r="C236" s="177" t="s">
        <v>1357</v>
      </c>
      <c r="D236" s="129" t="s">
        <v>1512</v>
      </c>
      <c r="E236" s="129" t="s">
        <v>1339</v>
      </c>
      <c r="F236" s="129" t="s">
        <v>1513</v>
      </c>
      <c r="G236" s="129" t="s">
        <v>1798</v>
      </c>
      <c r="H236" s="129"/>
      <c r="I236" s="129" t="s">
        <v>1799</v>
      </c>
      <c r="J236" s="129"/>
      <c r="K236" s="129" t="s">
        <v>1736</v>
      </c>
      <c r="L236" s="129"/>
      <c r="M236" s="23" t="s">
        <v>711</v>
      </c>
      <c r="N236" s="8"/>
      <c r="O236" s="129"/>
      <c r="P236" s="129"/>
      <c r="Q236" s="129"/>
      <c r="R236" s="129"/>
    </row>
    <row r="237" spans="1:18" ht="133.25" customHeight="1">
      <c r="A237" s="129">
        <v>235</v>
      </c>
      <c r="B237" s="129"/>
      <c r="C237" s="129" t="s">
        <v>539</v>
      </c>
      <c r="D237" s="129" t="s">
        <v>540</v>
      </c>
      <c r="E237" s="129" t="s">
        <v>1539</v>
      </c>
      <c r="F237" s="129" t="s">
        <v>1213</v>
      </c>
      <c r="G237" s="129" t="s">
        <v>1800</v>
      </c>
      <c r="H237" s="129" t="s">
        <v>541</v>
      </c>
      <c r="I237" s="129" t="s">
        <v>1801</v>
      </c>
      <c r="J237" s="129"/>
      <c r="K237" s="129"/>
      <c r="L237" s="129"/>
      <c r="M237" s="8"/>
      <c r="N237" s="8"/>
      <c r="O237" s="129"/>
      <c r="P237" s="129"/>
      <c r="Q237" s="129"/>
      <c r="R237" s="129"/>
    </row>
    <row r="238" spans="1:18" ht="213.25" customHeight="1">
      <c r="A238" s="129">
        <v>236</v>
      </c>
      <c r="B238" s="137">
        <v>46050</v>
      </c>
      <c r="C238" s="129" t="s">
        <v>1158</v>
      </c>
      <c r="D238" s="135" t="s">
        <v>712</v>
      </c>
      <c r="E238" s="129" t="s">
        <v>579</v>
      </c>
      <c r="F238" s="139" t="s">
        <v>1802</v>
      </c>
      <c r="G238" s="129" t="s">
        <v>1803</v>
      </c>
      <c r="H238" s="129"/>
      <c r="I238" s="129" t="s">
        <v>1804</v>
      </c>
      <c r="J238" s="129" t="s">
        <v>713</v>
      </c>
      <c r="K238" s="129" t="s">
        <v>714</v>
      </c>
      <c r="L238" s="129"/>
      <c r="M238" s="8"/>
      <c r="N238" s="8"/>
      <c r="O238" s="129"/>
      <c r="P238" s="129"/>
      <c r="Q238" s="129"/>
      <c r="R238" s="129"/>
    </row>
    <row r="239" spans="1:18" ht="133.25" customHeight="1">
      <c r="A239" s="129">
        <v>237</v>
      </c>
      <c r="B239" s="137">
        <v>46048</v>
      </c>
      <c r="C239" s="129" t="s">
        <v>1021</v>
      </c>
      <c r="D239" s="135" t="s">
        <v>1022</v>
      </c>
      <c r="E239" s="129" t="s">
        <v>1374</v>
      </c>
      <c r="F239" s="129" t="s">
        <v>1313</v>
      </c>
      <c r="G239" s="129"/>
      <c r="H239" s="129" t="s">
        <v>1023</v>
      </c>
      <c r="I239" s="129" t="s">
        <v>1024</v>
      </c>
      <c r="J239" s="129" t="s">
        <v>1025</v>
      </c>
      <c r="K239" s="129"/>
      <c r="L239" s="129"/>
      <c r="M239" s="8"/>
      <c r="N239" s="8"/>
      <c r="O239" s="129"/>
      <c r="P239" s="129"/>
      <c r="Q239" s="129"/>
      <c r="R239" s="129"/>
    </row>
    <row r="240" spans="1:18" ht="153" customHeight="1">
      <c r="A240" s="129">
        <v>238</v>
      </c>
      <c r="B240" s="129"/>
      <c r="C240" s="129" t="s">
        <v>695</v>
      </c>
      <c r="D240" s="129" t="s">
        <v>696</v>
      </c>
      <c r="E240" s="129" t="s">
        <v>264</v>
      </c>
      <c r="F240" s="129" t="s">
        <v>1237</v>
      </c>
      <c r="G240" s="129" t="s">
        <v>697</v>
      </c>
      <c r="H240" s="129"/>
      <c r="I240" s="129" t="s">
        <v>698</v>
      </c>
      <c r="J240" s="129"/>
      <c r="K240" s="129"/>
      <c r="L240" s="129"/>
      <c r="M240" s="8"/>
      <c r="N240" s="8"/>
      <c r="O240" s="129"/>
      <c r="P240" s="129"/>
      <c r="Q240" s="129"/>
      <c r="R240" s="129"/>
    </row>
    <row r="241" spans="1:18" ht="160" customHeight="1">
      <c r="A241" s="129">
        <v>239</v>
      </c>
      <c r="B241" s="129"/>
      <c r="C241" s="129" t="s">
        <v>627</v>
      </c>
      <c r="D241" s="129" t="s">
        <v>1523</v>
      </c>
      <c r="E241" s="129" t="s">
        <v>264</v>
      </c>
      <c r="F241" s="129" t="s">
        <v>1416</v>
      </c>
      <c r="G241" s="129" t="s">
        <v>628</v>
      </c>
      <c r="H241" s="129"/>
      <c r="I241" s="129" t="s">
        <v>629</v>
      </c>
      <c r="J241" s="129"/>
      <c r="K241" s="129"/>
      <c r="L241" s="129"/>
      <c r="M241" s="8"/>
      <c r="N241" s="8"/>
      <c r="O241" s="129"/>
      <c r="P241" s="129"/>
      <c r="Q241" s="129"/>
      <c r="R241" s="129"/>
    </row>
    <row r="242" spans="1:18" ht="87" customHeight="1">
      <c r="A242" s="129">
        <v>240</v>
      </c>
      <c r="B242" s="137"/>
      <c r="C242" s="129" t="s">
        <v>659</v>
      </c>
      <c r="D242" s="129" t="s">
        <v>660</v>
      </c>
      <c r="E242" s="129" t="s">
        <v>661</v>
      </c>
      <c r="F242" s="129" t="s">
        <v>1230</v>
      </c>
      <c r="G242" s="129" t="s">
        <v>662</v>
      </c>
      <c r="H242" s="129"/>
      <c r="I242" s="129" t="s">
        <v>663</v>
      </c>
      <c r="J242" s="129"/>
      <c r="K242" s="129"/>
      <c r="L242" s="129"/>
      <c r="M242" s="8"/>
      <c r="N242" s="8"/>
      <c r="O242" s="129"/>
      <c r="P242" s="129"/>
      <c r="Q242" s="129"/>
      <c r="R242" s="129"/>
    </row>
    <row r="243" spans="1:18" ht="90.75" customHeight="1">
      <c r="A243" s="129">
        <v>241</v>
      </c>
      <c r="B243" s="137">
        <v>46048</v>
      </c>
      <c r="C243" s="129"/>
      <c r="D243" s="129" t="s">
        <v>543</v>
      </c>
      <c r="E243" s="135" t="s">
        <v>1539</v>
      </c>
      <c r="F243" s="129" t="s">
        <v>544</v>
      </c>
      <c r="G243" s="129"/>
      <c r="H243" s="129"/>
      <c r="I243" s="129" t="s">
        <v>545</v>
      </c>
      <c r="J243" s="129" t="s">
        <v>546</v>
      </c>
      <c r="K243" s="129" t="s">
        <v>478</v>
      </c>
      <c r="L243" s="129"/>
      <c r="M243" s="8"/>
      <c r="N243" s="8"/>
      <c r="O243" s="129"/>
      <c r="P243" s="129"/>
      <c r="Q243" s="129"/>
      <c r="R243" s="129"/>
    </row>
    <row r="244" spans="1:18" ht="138.75" customHeight="1">
      <c r="A244" s="129">
        <v>242</v>
      </c>
      <c r="B244" s="137">
        <v>46043</v>
      </c>
      <c r="C244" s="129" t="s">
        <v>1005</v>
      </c>
      <c r="D244" s="129" t="s">
        <v>1704</v>
      </c>
      <c r="E244" s="129" t="s">
        <v>969</v>
      </c>
      <c r="F244" s="129" t="s">
        <v>1705</v>
      </c>
      <c r="G244" s="129"/>
      <c r="H244" s="129" t="s">
        <v>1006</v>
      </c>
      <c r="I244" s="129" t="s">
        <v>1007</v>
      </c>
      <c r="J244" s="129"/>
      <c r="K244" s="129"/>
      <c r="L244" s="129"/>
      <c r="M244" s="8"/>
      <c r="N244" s="8"/>
      <c r="O244" s="129"/>
      <c r="P244" s="129"/>
      <c r="Q244" s="129"/>
      <c r="R244" s="129"/>
    </row>
    <row r="245" spans="1:18" ht="161.75" customHeight="1">
      <c r="A245" s="129">
        <v>243</v>
      </c>
      <c r="B245" s="178"/>
      <c r="C245" s="135" t="s">
        <v>1453</v>
      </c>
      <c r="D245" s="135" t="s">
        <v>1606</v>
      </c>
      <c r="E245" s="129" t="s">
        <v>1539</v>
      </c>
      <c r="F245" s="129" t="s">
        <v>1673</v>
      </c>
      <c r="G245" s="129" t="s">
        <v>1805</v>
      </c>
      <c r="H245" s="129"/>
      <c r="I245" s="129" t="s">
        <v>1806</v>
      </c>
      <c r="J245" s="129"/>
      <c r="K245" s="129" t="s">
        <v>1571</v>
      </c>
      <c r="L245" s="129"/>
      <c r="M245" s="129"/>
      <c r="N245" s="129"/>
      <c r="O245" s="129"/>
      <c r="P245" s="129"/>
      <c r="Q245" s="129"/>
      <c r="R245" s="129"/>
    </row>
    <row r="246" spans="1:18" ht="115.75" customHeight="1">
      <c r="A246" s="129">
        <v>244</v>
      </c>
      <c r="B246" s="134"/>
      <c r="C246" s="129"/>
      <c r="D246" s="135" t="s">
        <v>547</v>
      </c>
      <c r="E246" s="129" t="s">
        <v>265</v>
      </c>
      <c r="F246" s="129" t="s">
        <v>548</v>
      </c>
      <c r="G246" s="129" t="s">
        <v>549</v>
      </c>
      <c r="H246" s="129"/>
      <c r="I246" s="129" t="s">
        <v>550</v>
      </c>
      <c r="J246" s="129"/>
      <c r="K246" s="129"/>
      <c r="L246" s="129"/>
      <c r="M246" s="129"/>
      <c r="N246" s="129"/>
      <c r="O246" s="129"/>
      <c r="P246" s="129"/>
      <c r="Q246" s="129"/>
      <c r="R246" s="129"/>
    </row>
    <row r="247" spans="1:18" ht="186.75" customHeight="1">
      <c r="A247" s="129">
        <v>245</v>
      </c>
      <c r="B247" s="137"/>
      <c r="C247" s="129"/>
      <c r="D247" s="152" t="s">
        <v>551</v>
      </c>
      <c r="E247" s="129" t="s">
        <v>265</v>
      </c>
      <c r="F247" s="129" t="s">
        <v>1215</v>
      </c>
      <c r="G247" s="129"/>
      <c r="H247" s="129"/>
      <c r="I247" s="129" t="s">
        <v>552</v>
      </c>
      <c r="J247" s="129"/>
      <c r="K247" s="129"/>
      <c r="L247" s="129"/>
      <c r="M247" s="129"/>
      <c r="N247" s="129"/>
      <c r="O247" s="129"/>
      <c r="P247" s="129"/>
      <c r="Q247" s="129"/>
      <c r="R247" s="129"/>
    </row>
    <row r="248" spans="1:18" ht="92.25" customHeight="1">
      <c r="A248" s="129">
        <v>246</v>
      </c>
      <c r="B248" s="137">
        <v>46364</v>
      </c>
      <c r="C248" s="129" t="s">
        <v>554</v>
      </c>
      <c r="D248" s="129" t="s">
        <v>1520</v>
      </c>
      <c r="E248" s="129" t="s">
        <v>555</v>
      </c>
      <c r="F248" s="129" t="s">
        <v>1521</v>
      </c>
      <c r="G248" s="129" t="s">
        <v>556</v>
      </c>
      <c r="H248" s="129"/>
      <c r="I248" s="129" t="s">
        <v>557</v>
      </c>
      <c r="J248" s="129"/>
      <c r="K248" s="129" t="s">
        <v>558</v>
      </c>
      <c r="L248" s="129"/>
      <c r="M248" s="23" t="s">
        <v>559</v>
      </c>
      <c r="N248" s="129"/>
      <c r="O248" s="129"/>
      <c r="P248" s="129"/>
      <c r="Q248" s="129"/>
      <c r="R248" s="129"/>
    </row>
    <row r="249" spans="1:18" ht="69.25" customHeight="1">
      <c r="A249" s="129">
        <v>247</v>
      </c>
      <c r="B249" s="137"/>
      <c r="C249" s="129" t="s">
        <v>560</v>
      </c>
      <c r="D249" s="129" t="s">
        <v>561</v>
      </c>
      <c r="E249" s="129" t="s">
        <v>1539</v>
      </c>
      <c r="F249" s="129" t="s">
        <v>1216</v>
      </c>
      <c r="G249" s="129" t="s">
        <v>562</v>
      </c>
      <c r="H249" s="129"/>
      <c r="I249" s="129" t="s">
        <v>563</v>
      </c>
      <c r="J249" s="129"/>
      <c r="K249" s="129"/>
      <c r="L249" s="129"/>
      <c r="M249" s="129"/>
      <c r="N249" s="129"/>
      <c r="O249" s="129"/>
      <c r="P249" s="129"/>
      <c r="Q249" s="129"/>
      <c r="R249" s="129"/>
    </row>
    <row r="250" spans="1:18" ht="161.75" customHeight="1">
      <c r="A250" s="129">
        <v>248</v>
      </c>
      <c r="B250" s="137"/>
      <c r="C250" s="129"/>
      <c r="D250" s="129" t="s">
        <v>1274</v>
      </c>
      <c r="E250" s="129" t="s">
        <v>265</v>
      </c>
      <c r="F250" s="129" t="s">
        <v>1420</v>
      </c>
      <c r="G250" s="129"/>
      <c r="H250" s="129"/>
      <c r="I250" s="129" t="s">
        <v>906</v>
      </c>
      <c r="J250" s="129"/>
      <c r="K250" s="129"/>
      <c r="L250" s="129"/>
      <c r="M250" s="129"/>
      <c r="N250" s="129"/>
      <c r="O250" s="129"/>
      <c r="P250" s="129"/>
      <c r="Q250" s="129"/>
      <c r="R250" s="129"/>
    </row>
    <row r="251" spans="1:18" ht="161.75" customHeight="1">
      <c r="A251" s="129">
        <v>249</v>
      </c>
      <c r="B251" s="137"/>
      <c r="C251" s="129"/>
      <c r="D251" s="11" t="s">
        <v>510</v>
      </c>
      <c r="E251" s="129" t="s">
        <v>265</v>
      </c>
      <c r="F251" s="12" t="s">
        <v>1206</v>
      </c>
      <c r="G251" s="129"/>
      <c r="H251" s="129"/>
      <c r="I251" s="155" t="s">
        <v>511</v>
      </c>
      <c r="J251" s="129"/>
      <c r="K251" s="129"/>
      <c r="L251" s="129"/>
      <c r="M251" s="129"/>
      <c r="N251" s="129"/>
      <c r="O251" s="129"/>
      <c r="P251" s="129"/>
      <c r="Q251" s="129"/>
      <c r="R251" s="129"/>
    </row>
    <row r="252" spans="1:18" ht="185" customHeight="1">
      <c r="A252" s="129">
        <v>250</v>
      </c>
      <c r="B252" s="137"/>
      <c r="C252" s="129"/>
      <c r="D252" s="129" t="s">
        <v>564</v>
      </c>
      <c r="E252" s="129" t="s">
        <v>265</v>
      </c>
      <c r="F252" s="136" t="s">
        <v>1217</v>
      </c>
      <c r="G252" s="136" t="s">
        <v>565</v>
      </c>
      <c r="H252" s="136"/>
      <c r="I252" s="129" t="s">
        <v>1674</v>
      </c>
      <c r="J252" s="129"/>
      <c r="K252" s="129"/>
      <c r="L252" s="129"/>
      <c r="M252" s="129"/>
      <c r="N252" s="129"/>
      <c r="O252" s="129"/>
      <c r="P252" s="129"/>
      <c r="Q252" s="129"/>
      <c r="R252" s="129"/>
    </row>
    <row r="253" spans="1:18" ht="138.75" customHeight="1">
      <c r="A253" s="129">
        <v>251</v>
      </c>
      <c r="B253" s="137"/>
      <c r="C253" s="129"/>
      <c r="D253" s="129" t="s">
        <v>566</v>
      </c>
      <c r="E253" s="129" t="s">
        <v>265</v>
      </c>
      <c r="F253" s="129" t="s">
        <v>1218</v>
      </c>
      <c r="G253" s="129"/>
      <c r="H253" s="129"/>
      <c r="I253" s="129" t="s">
        <v>567</v>
      </c>
      <c r="J253" s="129"/>
      <c r="K253" s="129"/>
      <c r="L253" s="129"/>
      <c r="M253" s="129"/>
      <c r="N253" s="129"/>
      <c r="O253" s="129"/>
      <c r="P253" s="129"/>
      <c r="Q253" s="129"/>
      <c r="R253" s="129"/>
    </row>
    <row r="254" spans="1:18" ht="92.25" customHeight="1">
      <c r="A254" s="129">
        <v>252</v>
      </c>
      <c r="B254" s="137"/>
      <c r="C254" s="129" t="s">
        <v>686</v>
      </c>
      <c r="D254" s="129" t="s">
        <v>687</v>
      </c>
      <c r="E254" s="129" t="s">
        <v>264</v>
      </c>
      <c r="F254" s="129" t="s">
        <v>1543</v>
      </c>
      <c r="G254" s="129"/>
      <c r="H254" s="129"/>
      <c r="I254" s="129" t="s">
        <v>688</v>
      </c>
      <c r="J254" s="129"/>
      <c r="K254" s="129"/>
      <c r="L254" s="129"/>
      <c r="M254" s="129"/>
      <c r="N254" s="129"/>
      <c r="O254" s="129"/>
      <c r="P254" s="129"/>
      <c r="Q254" s="129"/>
      <c r="R254" s="129"/>
    </row>
    <row r="255" spans="1:18" ht="185" customHeight="1">
      <c r="A255" s="129">
        <v>253</v>
      </c>
      <c r="B255" s="137"/>
      <c r="C255" s="129"/>
      <c r="D255" s="129" t="s">
        <v>1054</v>
      </c>
      <c r="E255" s="129" t="s">
        <v>1539</v>
      </c>
      <c r="F255" s="129" t="s">
        <v>1322</v>
      </c>
      <c r="G255" s="129"/>
      <c r="H255" s="129"/>
      <c r="I255" s="129"/>
      <c r="J255" s="129"/>
      <c r="K255" s="129"/>
      <c r="L255" s="129"/>
      <c r="M255" s="129"/>
      <c r="N255" s="129"/>
      <c r="O255" s="129" t="s">
        <v>1033</v>
      </c>
      <c r="P255" s="129"/>
      <c r="Q255" s="129"/>
      <c r="R255" s="129"/>
    </row>
    <row r="256" spans="1:18" ht="106.75" customHeight="1">
      <c r="A256" s="129">
        <v>254</v>
      </c>
      <c r="B256" s="137"/>
      <c r="C256" s="129" t="s">
        <v>885</v>
      </c>
      <c r="D256" s="129" t="s">
        <v>886</v>
      </c>
      <c r="E256" s="129" t="s">
        <v>266</v>
      </c>
      <c r="F256" s="129" t="s">
        <v>1419</v>
      </c>
      <c r="G256" s="129"/>
      <c r="H256" s="129"/>
      <c r="I256" s="129" t="s">
        <v>887</v>
      </c>
      <c r="J256" s="129"/>
      <c r="K256" s="129"/>
      <c r="L256" s="129"/>
      <c r="M256" s="129"/>
      <c r="N256" s="129"/>
      <c r="O256" s="129"/>
      <c r="P256" s="129"/>
      <c r="Q256" s="129"/>
      <c r="R256" s="129"/>
    </row>
    <row r="257" spans="1:18" ht="346.75" customHeight="1">
      <c r="A257" s="129">
        <v>255</v>
      </c>
      <c r="B257" s="137">
        <v>46048</v>
      </c>
      <c r="C257" s="129" t="s">
        <v>1014</v>
      </c>
      <c r="D257" s="129" t="s">
        <v>1311</v>
      </c>
      <c r="E257" s="129" t="s">
        <v>264</v>
      </c>
      <c r="F257" s="129" t="s">
        <v>1312</v>
      </c>
      <c r="G257" s="129"/>
      <c r="H257" s="129"/>
      <c r="I257" s="129" t="s">
        <v>1015</v>
      </c>
      <c r="J257" s="129"/>
      <c r="K257" s="129"/>
      <c r="L257" s="129"/>
      <c r="M257" s="129"/>
      <c r="N257" s="129"/>
      <c r="O257" s="129"/>
      <c r="P257" s="129"/>
      <c r="Q257" s="129"/>
      <c r="R257" s="129"/>
    </row>
    <row r="258" spans="1:18" ht="161.75" customHeight="1">
      <c r="A258" s="129">
        <v>256</v>
      </c>
      <c r="B258" s="137"/>
      <c r="C258" s="22"/>
      <c r="D258" s="140" t="s">
        <v>568</v>
      </c>
      <c r="E258" s="10" t="s">
        <v>265</v>
      </c>
      <c r="F258" s="148" t="s">
        <v>1219</v>
      </c>
      <c r="G258" s="129"/>
      <c r="H258" s="129"/>
      <c r="I258" s="148" t="s">
        <v>569</v>
      </c>
      <c r="J258" s="129"/>
      <c r="K258" s="141"/>
      <c r="L258" s="129"/>
      <c r="M258" s="129"/>
      <c r="N258" s="129"/>
      <c r="O258" s="129"/>
      <c r="P258" s="129"/>
      <c r="Q258" s="129"/>
      <c r="R258" s="129"/>
    </row>
    <row r="259" spans="1:18" ht="138.75" customHeight="1">
      <c r="A259" s="129">
        <v>257</v>
      </c>
      <c r="B259" s="137"/>
      <c r="C259" s="129" t="s">
        <v>1537</v>
      </c>
      <c r="D259" s="129" t="s">
        <v>1459</v>
      </c>
      <c r="E259" s="129" t="s">
        <v>1539</v>
      </c>
      <c r="F259" s="129" t="s">
        <v>1538</v>
      </c>
      <c r="G259" s="129"/>
      <c r="H259" s="129"/>
      <c r="I259" s="129" t="s">
        <v>1807</v>
      </c>
      <c r="J259" s="129" t="s">
        <v>1060</v>
      </c>
      <c r="K259" s="129" t="s">
        <v>1061</v>
      </c>
      <c r="L259" s="129"/>
      <c r="M259" s="129"/>
      <c r="N259" s="129"/>
      <c r="O259" s="129"/>
      <c r="P259" s="129"/>
      <c r="Q259" s="129"/>
      <c r="R259" s="129"/>
    </row>
    <row r="260" spans="1:18" ht="161.75" customHeight="1">
      <c r="A260" s="129">
        <v>258</v>
      </c>
      <c r="B260" s="137"/>
      <c r="C260" s="129"/>
      <c r="D260" s="129" t="s">
        <v>571</v>
      </c>
      <c r="E260" s="129" t="s">
        <v>265</v>
      </c>
      <c r="F260" s="129" t="s">
        <v>1428</v>
      </c>
      <c r="G260" s="129"/>
      <c r="H260" s="129"/>
      <c r="I260" s="129" t="s">
        <v>572</v>
      </c>
      <c r="J260" s="129"/>
      <c r="K260" s="129"/>
      <c r="L260" s="129"/>
      <c r="M260" s="129"/>
      <c r="N260" s="129"/>
      <c r="O260" s="129"/>
      <c r="P260" s="129"/>
      <c r="Q260" s="129"/>
      <c r="R260" s="129"/>
    </row>
    <row r="261" spans="1:18" ht="161.75" customHeight="1">
      <c r="A261" s="129">
        <v>259</v>
      </c>
      <c r="B261" s="137"/>
      <c r="C261" s="129" t="s">
        <v>881</v>
      </c>
      <c r="D261" s="129" t="s">
        <v>882</v>
      </c>
      <c r="E261" s="129" t="s">
        <v>264</v>
      </c>
      <c r="F261" s="129" t="s">
        <v>1271</v>
      </c>
      <c r="G261" s="129" t="s">
        <v>883</v>
      </c>
      <c r="H261" s="129"/>
      <c r="I261" s="129" t="s">
        <v>884</v>
      </c>
      <c r="J261" s="129"/>
      <c r="K261" s="129"/>
      <c r="L261" s="129"/>
      <c r="M261" s="129"/>
      <c r="N261" s="129"/>
      <c r="O261" s="129"/>
      <c r="P261" s="129"/>
      <c r="Q261" s="129"/>
      <c r="R261" s="129"/>
    </row>
    <row r="262" spans="1:18" ht="250.75" customHeight="1">
      <c r="A262" s="129">
        <v>260</v>
      </c>
      <c r="B262" s="137"/>
      <c r="C262" s="129" t="s">
        <v>938</v>
      </c>
      <c r="D262" s="7" t="s">
        <v>570</v>
      </c>
      <c r="E262" s="129" t="s">
        <v>266</v>
      </c>
      <c r="F262" s="12" t="s">
        <v>1447</v>
      </c>
      <c r="G262" s="129" t="s">
        <v>939</v>
      </c>
      <c r="H262" s="129"/>
      <c r="I262" s="155" t="s">
        <v>1737</v>
      </c>
      <c r="J262" s="129"/>
      <c r="K262" s="179"/>
      <c r="L262" s="129"/>
      <c r="M262" s="129"/>
      <c r="N262" s="129"/>
      <c r="O262" s="129"/>
      <c r="P262" s="129"/>
      <c r="Q262" s="129"/>
      <c r="R262" s="129"/>
    </row>
    <row r="263" spans="1:18" ht="240" customHeight="1">
      <c r="A263" s="129">
        <v>261</v>
      </c>
      <c r="B263" s="147"/>
      <c r="C263" s="177" t="s">
        <v>956</v>
      </c>
      <c r="D263" s="129" t="s">
        <v>1297</v>
      </c>
      <c r="E263" s="129" t="s">
        <v>266</v>
      </c>
      <c r="F263" s="129" t="s">
        <v>1449</v>
      </c>
      <c r="G263" s="129"/>
      <c r="H263" s="129"/>
      <c r="I263" s="129" t="s">
        <v>957</v>
      </c>
      <c r="J263" s="129"/>
      <c r="K263" s="129"/>
      <c r="L263" s="129"/>
      <c r="M263" s="129"/>
      <c r="N263" s="129"/>
      <c r="O263" s="129"/>
      <c r="P263" s="129"/>
      <c r="Q263" s="129"/>
      <c r="R263" s="129"/>
    </row>
    <row r="264" spans="1:18" ht="133.25" customHeight="1">
      <c r="A264" s="129">
        <v>262</v>
      </c>
      <c r="B264" s="129"/>
      <c r="C264" s="129" t="s">
        <v>956</v>
      </c>
      <c r="D264" s="135" t="s">
        <v>1287</v>
      </c>
      <c r="E264" s="129" t="s">
        <v>266</v>
      </c>
      <c r="F264" s="129" t="s">
        <v>1445</v>
      </c>
      <c r="G264" s="129"/>
      <c r="H264" s="129"/>
      <c r="I264" s="129" t="s">
        <v>931</v>
      </c>
      <c r="J264" s="129"/>
      <c r="K264" s="129"/>
      <c r="L264" s="129"/>
      <c r="M264" s="129"/>
      <c r="N264" s="129"/>
      <c r="O264" s="129"/>
      <c r="P264" s="129"/>
      <c r="Q264" s="129"/>
      <c r="R264" s="129"/>
    </row>
    <row r="265" spans="1:18" ht="160" customHeight="1">
      <c r="A265" s="129">
        <v>263</v>
      </c>
      <c r="B265" s="129"/>
      <c r="C265" s="129" t="s">
        <v>779</v>
      </c>
      <c r="D265" s="129" t="s">
        <v>780</v>
      </c>
      <c r="E265" s="129" t="s">
        <v>265</v>
      </c>
      <c r="F265" s="129" t="s">
        <v>1440</v>
      </c>
      <c r="G265" s="129"/>
      <c r="H265" s="129"/>
      <c r="I265" s="129" t="s">
        <v>781</v>
      </c>
      <c r="J265" s="129"/>
      <c r="K265" s="129"/>
      <c r="L265" s="129"/>
      <c r="M265" s="129"/>
      <c r="N265" s="129"/>
      <c r="O265" s="129"/>
      <c r="P265" s="129"/>
      <c r="Q265" s="129"/>
      <c r="R265" s="129"/>
    </row>
    <row r="266" spans="1:18" ht="188" customHeight="1">
      <c r="A266" s="129">
        <v>264</v>
      </c>
      <c r="B266" s="134"/>
      <c r="C266" s="129" t="s">
        <v>800</v>
      </c>
      <c r="D266" s="129" t="s">
        <v>801</v>
      </c>
      <c r="E266" s="129" t="s">
        <v>265</v>
      </c>
      <c r="F266" s="129" t="s">
        <v>1252</v>
      </c>
      <c r="G266" s="7" t="s">
        <v>802</v>
      </c>
      <c r="H266" s="7"/>
      <c r="I266" s="8" t="s">
        <v>803</v>
      </c>
      <c r="J266" s="129"/>
      <c r="K266" s="154"/>
      <c r="L266" s="129"/>
      <c r="M266" s="129"/>
      <c r="N266" s="129"/>
      <c r="O266" s="129"/>
      <c r="P266" s="129"/>
      <c r="Q266" s="129"/>
      <c r="R266" s="129"/>
    </row>
    <row r="267" spans="1:18" ht="348.25" customHeight="1">
      <c r="A267" s="129">
        <v>265</v>
      </c>
      <c r="B267" s="129"/>
      <c r="C267" s="129" t="s">
        <v>870</v>
      </c>
      <c r="D267" s="129" t="s">
        <v>871</v>
      </c>
      <c r="E267" s="129" t="s">
        <v>264</v>
      </c>
      <c r="F267" s="129" t="s">
        <v>1269</v>
      </c>
      <c r="G267" s="129"/>
      <c r="H267" s="129"/>
      <c r="I267" s="129" t="s">
        <v>872</v>
      </c>
      <c r="J267" s="129"/>
      <c r="K267" s="129"/>
      <c r="L267" s="129"/>
      <c r="M267" s="129"/>
      <c r="N267" s="129"/>
      <c r="O267" s="129"/>
      <c r="P267" s="129"/>
      <c r="Q267" s="129"/>
      <c r="R267" s="129"/>
    </row>
    <row r="268" spans="1:18" ht="124.25" customHeight="1">
      <c r="A268" s="129">
        <v>266</v>
      </c>
      <c r="B268" s="129"/>
      <c r="C268" s="129" t="s">
        <v>786</v>
      </c>
      <c r="D268" s="129" t="s">
        <v>787</v>
      </c>
      <c r="E268" s="129" t="s">
        <v>1539</v>
      </c>
      <c r="F268" s="129" t="s">
        <v>1248</v>
      </c>
      <c r="G268" s="129"/>
      <c r="H268" s="129"/>
      <c r="I268" s="129" t="s">
        <v>788</v>
      </c>
      <c r="J268" s="129"/>
      <c r="K268" s="129" t="s">
        <v>789</v>
      </c>
      <c r="L268" s="129"/>
      <c r="M268" s="129"/>
      <c r="N268" s="129"/>
      <c r="O268" s="129"/>
      <c r="P268" s="129"/>
      <c r="Q268" s="129"/>
      <c r="R268" s="129"/>
    </row>
    <row r="269" spans="1:18" ht="84">
      <c r="A269" s="129">
        <v>267</v>
      </c>
      <c r="B269" s="129"/>
      <c r="C269" s="149" t="s">
        <v>898</v>
      </c>
      <c r="D269" s="140" t="s">
        <v>899</v>
      </c>
      <c r="E269" s="10" t="s">
        <v>264</v>
      </c>
      <c r="F269" s="148" t="s">
        <v>1547</v>
      </c>
      <c r="G269" s="129"/>
      <c r="H269" s="129"/>
      <c r="I269" s="148" t="s">
        <v>900</v>
      </c>
      <c r="J269" s="129"/>
      <c r="K269" s="141"/>
      <c r="L269" s="129"/>
      <c r="M269" s="129"/>
      <c r="N269" s="129"/>
      <c r="O269" s="129"/>
      <c r="P269" s="129"/>
      <c r="Q269" s="129"/>
      <c r="R269" s="129"/>
    </row>
    <row r="270" spans="1:18" ht="80" customHeight="1">
      <c r="A270" s="129">
        <v>268</v>
      </c>
      <c r="B270" s="129"/>
      <c r="C270" s="129" t="s">
        <v>806</v>
      </c>
      <c r="D270" s="129" t="s">
        <v>807</v>
      </c>
      <c r="E270" s="129" t="s">
        <v>266</v>
      </c>
      <c r="F270" s="129" t="s">
        <v>1253</v>
      </c>
      <c r="G270" s="129"/>
      <c r="H270" s="129"/>
      <c r="I270" s="129" t="s">
        <v>808</v>
      </c>
      <c r="J270" s="129"/>
      <c r="K270" s="129"/>
      <c r="L270" s="129"/>
      <c r="M270" s="129"/>
      <c r="N270" s="129"/>
      <c r="O270" s="129"/>
      <c r="P270" s="129"/>
      <c r="Q270" s="129"/>
      <c r="R270" s="129"/>
    </row>
    <row r="271" spans="1:18" ht="30">
      <c r="A271" s="129">
        <v>269</v>
      </c>
      <c r="B271" s="129"/>
      <c r="C271" s="129" t="s">
        <v>573</v>
      </c>
      <c r="D271" s="129" t="s">
        <v>574</v>
      </c>
      <c r="E271" s="129" t="s">
        <v>264</v>
      </c>
      <c r="F271" s="129" t="s">
        <v>1220</v>
      </c>
      <c r="G271" s="129"/>
      <c r="H271" s="129"/>
      <c r="I271" s="129" t="s">
        <v>575</v>
      </c>
      <c r="J271" s="129"/>
      <c r="K271" s="129"/>
      <c r="L271" s="129"/>
      <c r="M271" s="129"/>
      <c r="N271" s="129"/>
      <c r="O271" s="129"/>
      <c r="P271" s="129"/>
      <c r="Q271" s="129"/>
      <c r="R271" s="129"/>
    </row>
    <row r="272" spans="1:18" ht="135" customHeight="1">
      <c r="A272" s="129">
        <v>270</v>
      </c>
      <c r="B272" s="129"/>
      <c r="C272" s="158" t="s">
        <v>1480</v>
      </c>
      <c r="D272" s="20" t="s">
        <v>1475</v>
      </c>
      <c r="E272" s="21" t="s">
        <v>878</v>
      </c>
      <c r="F272" s="148" t="s">
        <v>1481</v>
      </c>
      <c r="G272" s="129"/>
      <c r="H272" s="159"/>
      <c r="I272" s="180"/>
      <c r="J272" s="129"/>
      <c r="K272" s="140" t="s">
        <v>1484</v>
      </c>
      <c r="L272" s="129"/>
      <c r="M272" s="129"/>
      <c r="N272" s="129"/>
      <c r="O272" s="129"/>
      <c r="P272" s="129"/>
      <c r="Q272" s="129"/>
      <c r="R272" s="129"/>
    </row>
    <row r="273" spans="1:31" ht="133.25" customHeight="1">
      <c r="A273" s="129">
        <v>271</v>
      </c>
      <c r="B273" s="129"/>
      <c r="C273" s="129" t="s">
        <v>1387</v>
      </c>
      <c r="D273" s="129" t="s">
        <v>1388</v>
      </c>
      <c r="E273" s="129" t="s">
        <v>1374</v>
      </c>
      <c r="F273" s="129" t="s">
        <v>1389</v>
      </c>
      <c r="G273" s="129" t="s">
        <v>1390</v>
      </c>
      <c r="H273" s="129"/>
      <c r="I273" s="129"/>
      <c r="J273" s="129"/>
      <c r="K273" s="129" t="s">
        <v>1391</v>
      </c>
      <c r="L273" s="129"/>
      <c r="M273" s="129"/>
      <c r="N273" s="129"/>
      <c r="O273" s="129"/>
      <c r="P273" s="129"/>
      <c r="Q273" s="129"/>
      <c r="R273" s="129"/>
    </row>
    <row r="274" spans="1:31" ht="113.75" customHeight="1">
      <c r="A274" s="129">
        <v>272</v>
      </c>
      <c r="B274" s="129"/>
      <c r="C274" s="129" t="s">
        <v>891</v>
      </c>
      <c r="D274" s="129" t="s">
        <v>892</v>
      </c>
      <c r="E274" s="129" t="s">
        <v>266</v>
      </c>
      <c r="F274" s="129" t="s">
        <v>1546</v>
      </c>
      <c r="G274" s="129"/>
      <c r="H274" s="129"/>
      <c r="I274" s="129" t="s">
        <v>893</v>
      </c>
      <c r="J274" s="129"/>
      <c r="K274" s="129" t="s">
        <v>894</v>
      </c>
      <c r="L274" s="129"/>
      <c r="M274" s="129"/>
      <c r="N274" s="129"/>
      <c r="O274" s="129"/>
      <c r="P274" s="129"/>
      <c r="Q274" s="129"/>
      <c r="R274" s="129"/>
    </row>
    <row r="275" spans="1:31" ht="199" customHeight="1">
      <c r="A275" s="129">
        <v>273</v>
      </c>
      <c r="B275" s="129"/>
      <c r="C275" s="129" t="s">
        <v>1282</v>
      </c>
      <c r="D275" s="129" t="s">
        <v>1457</v>
      </c>
      <c r="E275" s="129" t="s">
        <v>266</v>
      </c>
      <c r="F275" s="129" t="s">
        <v>1458</v>
      </c>
      <c r="G275" s="129"/>
      <c r="H275" s="129"/>
      <c r="I275" s="129" t="s">
        <v>919</v>
      </c>
      <c r="J275" s="129"/>
      <c r="K275" s="129"/>
      <c r="L275" s="129"/>
      <c r="M275" s="129"/>
      <c r="N275" s="129"/>
      <c r="O275" s="129"/>
      <c r="P275" s="129"/>
      <c r="Q275" s="129"/>
      <c r="R275" s="129"/>
    </row>
    <row r="276" spans="1:31" ht="186.75" customHeight="1">
      <c r="A276" s="129">
        <v>274</v>
      </c>
      <c r="B276" s="135"/>
      <c r="C276" s="135" t="s">
        <v>630</v>
      </c>
      <c r="D276" s="135"/>
      <c r="E276" s="129" t="s">
        <v>266</v>
      </c>
      <c r="F276" s="129" t="s">
        <v>1433</v>
      </c>
      <c r="G276" s="129"/>
      <c r="H276" s="129"/>
      <c r="I276" s="129" t="s">
        <v>631</v>
      </c>
      <c r="J276" s="129"/>
      <c r="K276" s="129"/>
      <c r="L276" s="129"/>
      <c r="M276" s="129"/>
      <c r="N276" s="129"/>
      <c r="O276" s="129"/>
      <c r="P276" s="129"/>
      <c r="Q276" s="129"/>
      <c r="R276" s="129"/>
    </row>
    <row r="277" spans="1:31" ht="304" customHeight="1">
      <c r="A277" s="129">
        <v>275</v>
      </c>
      <c r="B277" s="129"/>
      <c r="C277" s="129" t="s">
        <v>647</v>
      </c>
      <c r="D277" s="129"/>
      <c r="E277" s="129" t="s">
        <v>266</v>
      </c>
      <c r="F277" s="129" t="s">
        <v>1228</v>
      </c>
      <c r="G277" s="129"/>
      <c r="H277" s="129"/>
      <c r="I277" s="129" t="s">
        <v>648</v>
      </c>
      <c r="J277" s="129"/>
      <c r="K277" s="129"/>
      <c r="L277" s="129"/>
      <c r="M277" s="129"/>
      <c r="N277" s="129"/>
      <c r="O277" s="129"/>
      <c r="P277" s="129"/>
      <c r="Q277" s="129"/>
      <c r="R277" s="129"/>
    </row>
    <row r="278" spans="1:31" ht="348.25" customHeight="1">
      <c r="A278" s="129">
        <v>276</v>
      </c>
      <c r="B278" s="129"/>
      <c r="C278" s="129" t="s">
        <v>2094</v>
      </c>
      <c r="D278" s="129"/>
      <c r="E278" s="129" t="s">
        <v>264</v>
      </c>
      <c r="F278" s="129" t="s">
        <v>1236</v>
      </c>
      <c r="G278" s="129"/>
      <c r="H278" s="129"/>
      <c r="I278" s="129" t="s">
        <v>694</v>
      </c>
      <c r="J278" s="129"/>
      <c r="K278" s="129"/>
      <c r="L278" s="129"/>
      <c r="M278" s="129"/>
      <c r="N278" s="129"/>
      <c r="O278" s="129"/>
      <c r="P278" s="129"/>
      <c r="Q278" s="129"/>
      <c r="R278" s="129"/>
    </row>
    <row r="279" spans="1:31" ht="149.25" customHeight="1">
      <c r="A279" s="129">
        <v>277</v>
      </c>
      <c r="B279" s="129"/>
      <c r="C279" s="129" t="s">
        <v>699</v>
      </c>
      <c r="D279" s="129"/>
      <c r="E279" s="129" t="s">
        <v>264</v>
      </c>
      <c r="F279" s="129" t="s">
        <v>1238</v>
      </c>
      <c r="G279" s="129"/>
      <c r="H279" s="129"/>
      <c r="I279" s="129" t="s">
        <v>700</v>
      </c>
      <c r="J279" s="129"/>
      <c r="K279" s="129"/>
      <c r="L279" s="129"/>
      <c r="M279" s="129"/>
      <c r="N279" s="129"/>
      <c r="O279" s="129"/>
      <c r="P279" s="129"/>
      <c r="Q279" s="129"/>
      <c r="R279" s="129"/>
      <c r="S279" s="6"/>
      <c r="T279" s="6"/>
      <c r="U279" s="6"/>
      <c r="V279" s="6"/>
      <c r="W279" s="6"/>
      <c r="X279" s="6"/>
      <c r="Y279" s="6"/>
      <c r="Z279" s="6"/>
      <c r="AA279" s="6"/>
      <c r="AB279" s="6"/>
      <c r="AC279" s="9"/>
      <c r="AD279" s="9"/>
      <c r="AE279" s="9"/>
    </row>
    <row r="280" spans="1:31" ht="213.25" customHeight="1">
      <c r="A280" s="129">
        <v>278</v>
      </c>
      <c r="B280" s="137"/>
      <c r="C280" s="129" t="s">
        <v>701</v>
      </c>
      <c r="D280" s="129"/>
      <c r="E280" s="129" t="s">
        <v>264</v>
      </c>
      <c r="F280" s="129" t="s">
        <v>1239</v>
      </c>
      <c r="G280" s="129"/>
      <c r="H280" s="129"/>
      <c r="I280" s="129" t="s">
        <v>702</v>
      </c>
      <c r="J280" s="154"/>
      <c r="K280" s="129"/>
      <c r="L280" s="129"/>
      <c r="M280" s="129"/>
      <c r="N280" s="129"/>
      <c r="O280" s="129"/>
      <c r="P280" s="129"/>
      <c r="Q280" s="129"/>
      <c r="R280" s="129"/>
      <c r="S280" s="6"/>
      <c r="T280" s="6"/>
      <c r="U280" s="6"/>
      <c r="V280" s="6"/>
      <c r="W280" s="6"/>
      <c r="X280" s="6"/>
      <c r="Y280" s="6"/>
      <c r="Z280" s="6"/>
      <c r="AA280" s="6"/>
      <c r="AB280" s="6"/>
      <c r="AC280" s="9"/>
      <c r="AD280" s="9"/>
      <c r="AE280" s="9"/>
    </row>
    <row r="281" spans="1:31" ht="149.25" customHeight="1">
      <c r="A281" s="129">
        <v>279</v>
      </c>
      <c r="B281" s="137">
        <v>46050</v>
      </c>
      <c r="C281" s="129" t="s">
        <v>703</v>
      </c>
      <c r="D281" s="129"/>
      <c r="E281" s="129" t="s">
        <v>266</v>
      </c>
      <c r="F281" s="129" t="s">
        <v>1240</v>
      </c>
      <c r="G281" s="129" t="s">
        <v>704</v>
      </c>
      <c r="H281" s="129" t="s">
        <v>705</v>
      </c>
      <c r="I281" s="129" t="s">
        <v>706</v>
      </c>
      <c r="J281" s="129" t="s">
        <v>707</v>
      </c>
      <c r="K281" s="129"/>
      <c r="L281" s="129"/>
      <c r="M281" s="129"/>
      <c r="N281" s="129"/>
      <c r="O281" s="129"/>
      <c r="P281" s="129"/>
      <c r="Q281" s="129"/>
      <c r="R281" s="129"/>
      <c r="S281" s="6"/>
      <c r="T281" s="6"/>
      <c r="U281" s="6"/>
      <c r="V281" s="6"/>
      <c r="W281" s="6"/>
      <c r="X281" s="6"/>
      <c r="Y281" s="6"/>
      <c r="Z281" s="6"/>
      <c r="AA281" s="6"/>
      <c r="AB281" s="6"/>
      <c r="AC281" s="9"/>
      <c r="AD281" s="9"/>
      <c r="AE281" s="9"/>
    </row>
    <row r="282" spans="1:31" ht="60">
      <c r="A282" s="129">
        <v>280</v>
      </c>
      <c r="B282" s="129"/>
      <c r="C282" s="129" t="s">
        <v>708</v>
      </c>
      <c r="D282" s="129"/>
      <c r="E282" s="129" t="s">
        <v>709</v>
      </c>
      <c r="F282" s="129" t="s">
        <v>1241</v>
      </c>
      <c r="G282" s="129"/>
      <c r="H282" s="129"/>
      <c r="I282" s="129" t="s">
        <v>710</v>
      </c>
      <c r="J282" s="129"/>
      <c r="K282" s="129"/>
      <c r="L282" s="129"/>
      <c r="M282" s="129"/>
      <c r="N282" s="129"/>
      <c r="O282" s="129"/>
      <c r="P282" s="129"/>
      <c r="Q282" s="129"/>
      <c r="R282" s="129"/>
    </row>
    <row r="283" spans="1:31" ht="75">
      <c r="A283" s="129">
        <v>281</v>
      </c>
      <c r="B283" s="129"/>
      <c r="C283" s="129" t="s">
        <v>726</v>
      </c>
      <c r="D283" s="129"/>
      <c r="E283" s="129" t="s">
        <v>634</v>
      </c>
      <c r="F283" s="129" t="s">
        <v>1242</v>
      </c>
      <c r="G283" s="129" t="s">
        <v>727</v>
      </c>
      <c r="H283" s="129"/>
      <c r="I283" s="129" t="s">
        <v>728</v>
      </c>
      <c r="J283" s="129"/>
      <c r="K283" s="129"/>
      <c r="L283" s="129"/>
      <c r="M283" s="129"/>
      <c r="N283" s="129"/>
      <c r="O283" s="129"/>
      <c r="P283" s="129"/>
      <c r="Q283" s="129"/>
      <c r="R283" s="129"/>
    </row>
    <row r="284" spans="1:31" ht="105">
      <c r="A284" s="129">
        <v>282</v>
      </c>
      <c r="B284" s="129"/>
      <c r="C284" s="129" t="s">
        <v>751</v>
      </c>
      <c r="D284" s="129"/>
      <c r="E284" s="129" t="s">
        <v>264</v>
      </c>
      <c r="F284" s="129" t="s">
        <v>1808</v>
      </c>
      <c r="G284" s="129" t="s">
        <v>752</v>
      </c>
      <c r="H284" s="129"/>
      <c r="I284" s="129" t="s">
        <v>753</v>
      </c>
      <c r="J284" s="129"/>
      <c r="K284" s="129"/>
      <c r="L284" s="129"/>
      <c r="M284" s="23" t="s">
        <v>754</v>
      </c>
      <c r="N284" s="129"/>
      <c r="O284" s="129"/>
      <c r="P284" s="129"/>
      <c r="Q284" s="129"/>
      <c r="R284" s="129"/>
    </row>
    <row r="285" spans="1:31" ht="75">
      <c r="A285" s="129">
        <v>283</v>
      </c>
      <c r="B285" s="135"/>
      <c r="C285" s="135" t="s">
        <v>755</v>
      </c>
      <c r="D285" s="135"/>
      <c r="E285" s="129" t="s">
        <v>264</v>
      </c>
      <c r="F285" s="129" t="s">
        <v>1439</v>
      </c>
      <c r="G285" s="129"/>
      <c r="H285" s="129"/>
      <c r="I285" s="129" t="s">
        <v>756</v>
      </c>
      <c r="J285" s="129"/>
      <c r="K285" s="129"/>
      <c r="L285" s="129"/>
      <c r="M285" s="129"/>
      <c r="N285" s="129"/>
      <c r="O285" s="129"/>
      <c r="P285" s="129"/>
      <c r="Q285" s="129"/>
      <c r="R285" s="129"/>
    </row>
    <row r="286" spans="1:31" ht="75">
      <c r="A286" s="129">
        <v>284</v>
      </c>
      <c r="B286" s="135"/>
      <c r="C286" s="135" t="s">
        <v>757</v>
      </c>
      <c r="D286" s="129"/>
      <c r="E286" s="129" t="s">
        <v>758</v>
      </c>
      <c r="F286" s="129" t="s">
        <v>1932</v>
      </c>
      <c r="G286" s="129" t="s">
        <v>759</v>
      </c>
      <c r="H286" s="129"/>
      <c r="I286" s="129" t="s">
        <v>760</v>
      </c>
      <c r="J286" s="129"/>
      <c r="K286" s="129"/>
      <c r="L286" s="129"/>
      <c r="M286" s="129"/>
      <c r="N286" s="129"/>
      <c r="O286" s="129"/>
      <c r="P286" s="129"/>
      <c r="Q286" s="129"/>
      <c r="R286" s="129"/>
    </row>
    <row r="287" spans="1:31" ht="30">
      <c r="A287" s="129">
        <v>285</v>
      </c>
      <c r="B287" s="129"/>
      <c r="C287" s="129" t="s">
        <v>761</v>
      </c>
      <c r="D287" s="129"/>
      <c r="E287" s="129" t="s">
        <v>266</v>
      </c>
      <c r="F287" s="129" t="s">
        <v>762</v>
      </c>
      <c r="G287" s="129" t="s">
        <v>763</v>
      </c>
      <c r="H287" s="129"/>
      <c r="I287" s="129" t="s">
        <v>764</v>
      </c>
      <c r="J287" s="129"/>
      <c r="K287" s="129"/>
      <c r="L287" s="129"/>
      <c r="M287" s="129"/>
      <c r="N287" s="129"/>
      <c r="O287" s="129"/>
      <c r="P287" s="129"/>
      <c r="Q287" s="129"/>
      <c r="R287" s="129"/>
    </row>
    <row r="288" spans="1:31" ht="45">
      <c r="A288" s="129">
        <v>286</v>
      </c>
      <c r="B288" s="134"/>
      <c r="C288" s="129" t="s">
        <v>765</v>
      </c>
      <c r="D288" s="129"/>
      <c r="E288" s="129" t="s">
        <v>266</v>
      </c>
      <c r="F288" s="129" t="s">
        <v>1246</v>
      </c>
      <c r="G288" s="129" t="s">
        <v>766</v>
      </c>
      <c r="H288" s="129"/>
      <c r="I288" s="7" t="s">
        <v>767</v>
      </c>
      <c r="J288" s="129"/>
      <c r="K288" s="129"/>
      <c r="L288" s="129"/>
      <c r="M288" s="129"/>
      <c r="N288" s="129"/>
      <c r="O288" s="129"/>
      <c r="P288" s="129"/>
      <c r="Q288" s="129"/>
      <c r="R288" s="129"/>
    </row>
    <row r="289" spans="1:18" ht="135">
      <c r="A289" s="129">
        <v>287</v>
      </c>
      <c r="B289" s="134" t="s">
        <v>287</v>
      </c>
      <c r="C289" s="129" t="s">
        <v>775</v>
      </c>
      <c r="D289" s="129"/>
      <c r="E289" s="129" t="s">
        <v>266</v>
      </c>
      <c r="F289" s="129" t="s">
        <v>1247</v>
      </c>
      <c r="G289" s="129"/>
      <c r="H289" s="129" t="s">
        <v>776</v>
      </c>
      <c r="I289" s="129" t="s">
        <v>777</v>
      </c>
      <c r="J289" s="129" t="s">
        <v>773</v>
      </c>
      <c r="K289" s="129"/>
      <c r="L289" s="129"/>
      <c r="M289" s="129"/>
      <c r="N289" s="129"/>
      <c r="O289" s="129"/>
      <c r="P289" s="129"/>
      <c r="Q289" s="129"/>
      <c r="R289" s="129"/>
    </row>
    <row r="290" spans="1:18" ht="75">
      <c r="A290" s="129">
        <v>288</v>
      </c>
      <c r="B290" s="129"/>
      <c r="C290" s="129" t="s">
        <v>818</v>
      </c>
      <c r="D290" s="129"/>
      <c r="E290" s="135" t="s">
        <v>634</v>
      </c>
      <c r="F290" s="129" t="s">
        <v>1255</v>
      </c>
      <c r="G290" s="129"/>
      <c r="H290" s="129"/>
      <c r="I290" s="129" t="s">
        <v>819</v>
      </c>
      <c r="J290" s="129"/>
      <c r="K290" s="129"/>
      <c r="L290" s="129"/>
      <c r="M290" s="129"/>
      <c r="N290" s="129"/>
      <c r="O290" s="129"/>
      <c r="P290" s="129"/>
      <c r="Q290" s="129"/>
      <c r="R290" s="129"/>
    </row>
    <row r="291" spans="1:18" ht="135">
      <c r="A291" s="129">
        <v>289</v>
      </c>
      <c r="B291" s="129"/>
      <c r="C291" s="129" t="s">
        <v>904</v>
      </c>
      <c r="D291" s="129"/>
      <c r="E291" s="129" t="s">
        <v>878</v>
      </c>
      <c r="F291" s="139" t="s">
        <v>1933</v>
      </c>
      <c r="G291" s="129"/>
      <c r="H291" s="129"/>
      <c r="I291" s="129" t="s">
        <v>905</v>
      </c>
      <c r="J291" s="129"/>
      <c r="K291" s="129"/>
      <c r="L291" s="129"/>
      <c r="M291" s="129"/>
      <c r="N291" s="129"/>
      <c r="O291" s="129"/>
      <c r="P291" s="129"/>
      <c r="Q291" s="129"/>
      <c r="R291" s="129"/>
    </row>
    <row r="292" spans="1:18" ht="105">
      <c r="A292" s="129">
        <v>290</v>
      </c>
      <c r="B292" s="129"/>
      <c r="C292" s="129" t="s">
        <v>1275</v>
      </c>
      <c r="D292" s="129"/>
      <c r="E292" s="129" t="s">
        <v>837</v>
      </c>
      <c r="F292" s="129" t="s">
        <v>1276</v>
      </c>
      <c r="G292" s="129" t="s">
        <v>907</v>
      </c>
      <c r="H292" s="129"/>
      <c r="I292" s="129"/>
      <c r="J292" s="129"/>
      <c r="K292" s="129"/>
      <c r="L292" s="129"/>
      <c r="M292" s="129"/>
      <c r="N292" s="129"/>
      <c r="O292" s="129"/>
      <c r="P292" s="129"/>
      <c r="Q292" s="129"/>
      <c r="R292" s="129"/>
    </row>
    <row r="293" spans="1:18" ht="75">
      <c r="A293" s="129">
        <v>291</v>
      </c>
      <c r="B293" s="129"/>
      <c r="C293" s="129" t="s">
        <v>908</v>
      </c>
      <c r="D293" s="129"/>
      <c r="E293" s="129" t="s">
        <v>837</v>
      </c>
      <c r="F293" s="129" t="s">
        <v>1277</v>
      </c>
      <c r="G293" s="129"/>
      <c r="H293" s="129"/>
      <c r="I293" s="129" t="s">
        <v>909</v>
      </c>
      <c r="J293" s="129"/>
      <c r="K293" s="129"/>
      <c r="L293" s="129"/>
      <c r="M293" s="129"/>
      <c r="N293" s="129"/>
      <c r="O293" s="129"/>
      <c r="P293" s="129"/>
      <c r="Q293" s="129"/>
      <c r="R293" s="129"/>
    </row>
    <row r="294" spans="1:18" ht="45">
      <c r="A294" s="129">
        <v>292</v>
      </c>
      <c r="B294" s="129"/>
      <c r="C294" s="129" t="s">
        <v>1280</v>
      </c>
      <c r="D294" s="129"/>
      <c r="E294" s="129" t="s">
        <v>265</v>
      </c>
      <c r="F294" s="129" t="s">
        <v>1281</v>
      </c>
      <c r="G294" s="129"/>
      <c r="H294" s="129"/>
      <c r="I294" s="129" t="s">
        <v>915</v>
      </c>
      <c r="J294" s="129"/>
      <c r="K294" s="129"/>
      <c r="L294" s="129"/>
      <c r="M294" s="129"/>
      <c r="N294" s="129"/>
      <c r="O294" s="129"/>
      <c r="P294" s="129"/>
      <c r="Q294" s="129"/>
      <c r="R294" s="129"/>
    </row>
    <row r="295" spans="1:18" ht="180">
      <c r="A295" s="129">
        <v>293</v>
      </c>
      <c r="B295" s="129"/>
      <c r="C295" s="129" t="s">
        <v>922</v>
      </c>
      <c r="D295" s="129"/>
      <c r="E295" s="129" t="s">
        <v>266</v>
      </c>
      <c r="F295" s="129" t="s">
        <v>1675</v>
      </c>
      <c r="G295" s="129"/>
      <c r="H295" s="129"/>
      <c r="I295" s="129" t="s">
        <v>923</v>
      </c>
      <c r="J295" s="129"/>
      <c r="K295" s="129"/>
      <c r="L295" s="129"/>
      <c r="M295" s="129"/>
      <c r="N295" s="129"/>
      <c r="O295" s="129"/>
      <c r="P295" s="129"/>
      <c r="Q295" s="129"/>
      <c r="R295" s="129"/>
    </row>
    <row r="296" spans="1:18" ht="120">
      <c r="A296" s="129">
        <v>294</v>
      </c>
      <c r="B296" s="138"/>
      <c r="C296" s="135" t="s">
        <v>1292</v>
      </c>
      <c r="D296" s="129"/>
      <c r="E296" s="129" t="s">
        <v>266</v>
      </c>
      <c r="F296" s="129" t="s">
        <v>1293</v>
      </c>
      <c r="G296" s="129" t="s">
        <v>941</v>
      </c>
      <c r="H296" s="129"/>
      <c r="I296" s="129" t="s">
        <v>919</v>
      </c>
      <c r="J296" s="129"/>
      <c r="K296" s="129"/>
      <c r="L296" s="129"/>
      <c r="M296" s="129"/>
      <c r="N296" s="129"/>
      <c r="O296" s="129"/>
      <c r="P296" s="129"/>
      <c r="Q296" s="129"/>
      <c r="R296" s="129"/>
    </row>
    <row r="297" spans="1:18" ht="105">
      <c r="A297" s="129">
        <v>295</v>
      </c>
      <c r="B297" s="129"/>
      <c r="C297" s="129" t="s">
        <v>944</v>
      </c>
      <c r="D297" s="129"/>
      <c r="E297" s="129" t="s">
        <v>945</v>
      </c>
      <c r="F297" s="129" t="s">
        <v>1676</v>
      </c>
      <c r="G297" s="129"/>
      <c r="H297" s="129"/>
      <c r="I297" s="129" t="s">
        <v>946</v>
      </c>
      <c r="J297" s="129"/>
      <c r="K297" s="129"/>
      <c r="L297" s="129"/>
      <c r="M297" s="129"/>
      <c r="N297" s="129"/>
      <c r="O297" s="129"/>
      <c r="P297" s="129"/>
      <c r="Q297" s="129"/>
      <c r="R297" s="129"/>
    </row>
    <row r="298" spans="1:18" ht="135">
      <c r="A298" s="129">
        <v>296</v>
      </c>
      <c r="B298" s="129"/>
      <c r="C298" s="129" t="s">
        <v>959</v>
      </c>
      <c r="D298" s="147"/>
      <c r="E298" s="129" t="s">
        <v>264</v>
      </c>
      <c r="F298" s="129" t="s">
        <v>1677</v>
      </c>
      <c r="G298" s="129"/>
      <c r="H298" s="129"/>
      <c r="I298" s="140" t="s">
        <v>960</v>
      </c>
      <c r="J298" s="154"/>
      <c r="K298" s="154"/>
      <c r="L298" s="129"/>
      <c r="M298" s="129"/>
      <c r="N298" s="129"/>
      <c r="O298" s="129"/>
      <c r="P298" s="129"/>
      <c r="Q298" s="129"/>
      <c r="R298" s="129"/>
    </row>
    <row r="299" spans="1:18" ht="105">
      <c r="A299" s="129">
        <v>297</v>
      </c>
      <c r="B299" s="134"/>
      <c r="C299" s="181" t="s">
        <v>1302</v>
      </c>
      <c r="D299" s="22"/>
      <c r="E299" s="8" t="s">
        <v>974</v>
      </c>
      <c r="F299" s="8" t="s">
        <v>1303</v>
      </c>
      <c r="G299" s="129" t="s">
        <v>975</v>
      </c>
      <c r="H299" s="129"/>
      <c r="I299" s="16" t="s">
        <v>976</v>
      </c>
      <c r="J299" s="129"/>
      <c r="K299" s="154"/>
      <c r="L299" s="129"/>
      <c r="M299" s="129"/>
      <c r="N299" s="129"/>
      <c r="O299" s="129"/>
      <c r="P299" s="129"/>
      <c r="Q299" s="129"/>
      <c r="R299" s="129"/>
    </row>
    <row r="300" spans="1:18" ht="75">
      <c r="A300" s="129">
        <v>298</v>
      </c>
      <c r="B300" s="137">
        <v>46041</v>
      </c>
      <c r="C300" s="151" t="s">
        <v>1002</v>
      </c>
      <c r="D300" s="182"/>
      <c r="E300" s="7" t="s">
        <v>265</v>
      </c>
      <c r="F300" s="8" t="s">
        <v>1678</v>
      </c>
      <c r="G300" s="129"/>
      <c r="H300" s="151" t="s">
        <v>1003</v>
      </c>
      <c r="I300" s="16" t="s">
        <v>1004</v>
      </c>
      <c r="J300" s="129"/>
      <c r="K300" s="129"/>
      <c r="L300" s="129"/>
      <c r="M300" s="129"/>
      <c r="N300" s="129"/>
      <c r="O300" s="129"/>
      <c r="P300" s="129"/>
      <c r="Q300" s="129"/>
      <c r="R300" s="129"/>
    </row>
    <row r="301" spans="1:18" ht="75">
      <c r="A301" s="129">
        <v>299</v>
      </c>
      <c r="B301" s="137">
        <v>46048</v>
      </c>
      <c r="C301" s="151" t="s">
        <v>1029</v>
      </c>
      <c r="D301" s="183"/>
      <c r="E301" s="7" t="s">
        <v>264</v>
      </c>
      <c r="F301" s="13" t="s">
        <v>1549</v>
      </c>
      <c r="G301" s="159"/>
      <c r="H301" s="129" t="s">
        <v>1030</v>
      </c>
      <c r="I301" s="13" t="s">
        <v>1031</v>
      </c>
      <c r="J301" s="129" t="s">
        <v>1032</v>
      </c>
      <c r="K301" s="140" t="s">
        <v>1377</v>
      </c>
      <c r="L301" s="129"/>
      <c r="M301" s="129"/>
      <c r="N301" s="129"/>
      <c r="O301" s="129"/>
      <c r="P301" s="129"/>
      <c r="Q301" s="129"/>
      <c r="R301" s="129"/>
    </row>
    <row r="302" spans="1:18" ht="105">
      <c r="A302" s="129">
        <v>300</v>
      </c>
      <c r="B302" s="129"/>
      <c r="C302" s="129" t="s">
        <v>1074</v>
      </c>
      <c r="D302" s="129"/>
      <c r="E302" s="129" t="s">
        <v>264</v>
      </c>
      <c r="F302" s="129" t="s">
        <v>1679</v>
      </c>
      <c r="G302" s="129"/>
      <c r="H302" s="129" t="s">
        <v>1075</v>
      </c>
      <c r="I302" s="129"/>
      <c r="J302" s="129"/>
      <c r="K302" s="129" t="s">
        <v>1076</v>
      </c>
      <c r="L302" s="129"/>
      <c r="M302" s="129"/>
      <c r="N302" s="129"/>
      <c r="O302" s="129"/>
      <c r="P302" s="129"/>
      <c r="Q302" s="129"/>
      <c r="R302" s="129"/>
    </row>
    <row r="303" spans="1:18" ht="120">
      <c r="A303" s="129">
        <v>301</v>
      </c>
      <c r="B303" s="129"/>
      <c r="C303" s="129" t="s">
        <v>1706</v>
      </c>
      <c r="D303" s="129" t="s">
        <v>1707</v>
      </c>
      <c r="E303" s="129" t="s">
        <v>264</v>
      </c>
      <c r="F303" s="129" t="s">
        <v>1708</v>
      </c>
      <c r="G303" s="129"/>
      <c r="H303" s="129"/>
      <c r="I303" s="129" t="s">
        <v>1809</v>
      </c>
      <c r="J303" s="129"/>
      <c r="K303" s="129" t="s">
        <v>1616</v>
      </c>
      <c r="L303" s="129"/>
      <c r="M303" s="129"/>
      <c r="N303" s="129"/>
      <c r="O303" s="129"/>
      <c r="P303" s="129"/>
      <c r="Q303" s="129"/>
      <c r="R303" s="129"/>
    </row>
    <row r="304" spans="1:18" ht="99">
      <c r="A304" s="129">
        <v>302</v>
      </c>
      <c r="B304" s="33"/>
      <c r="C304" s="184" t="s">
        <v>1609</v>
      </c>
      <c r="D304" s="185" t="s">
        <v>1610</v>
      </c>
      <c r="E304" s="156" t="s">
        <v>266</v>
      </c>
      <c r="F304" s="15" t="s">
        <v>1611</v>
      </c>
      <c r="G304" s="33"/>
      <c r="H304" s="33"/>
      <c r="I304" s="186" t="s">
        <v>1612</v>
      </c>
      <c r="J304" s="33"/>
      <c r="K304" s="186" t="s">
        <v>1613</v>
      </c>
      <c r="L304" s="141"/>
      <c r="M304" s="33"/>
      <c r="N304" s="33"/>
      <c r="O304" s="33"/>
      <c r="P304" s="33"/>
      <c r="Q304" s="33"/>
      <c r="R304" s="33"/>
    </row>
    <row r="305" spans="1:18" ht="127">
      <c r="A305" s="129">
        <v>303</v>
      </c>
      <c r="B305" s="33"/>
      <c r="C305" s="186" t="s">
        <v>1709</v>
      </c>
      <c r="D305" s="186" t="s">
        <v>1710</v>
      </c>
      <c r="E305" s="156" t="s">
        <v>579</v>
      </c>
      <c r="F305" s="15" t="s">
        <v>1711</v>
      </c>
      <c r="G305" s="33"/>
      <c r="H305" s="33"/>
      <c r="I305" s="33"/>
      <c r="J305" s="33"/>
      <c r="K305" s="33"/>
      <c r="L305" s="141"/>
      <c r="M305" s="33"/>
      <c r="N305" s="33"/>
      <c r="O305" s="33"/>
      <c r="P305" s="33"/>
      <c r="Q305" s="33"/>
      <c r="R305" s="33"/>
    </row>
    <row r="306" spans="1:18" ht="71">
      <c r="A306" s="129">
        <v>304</v>
      </c>
      <c r="B306" s="33"/>
      <c r="C306" s="186" t="s">
        <v>1684</v>
      </c>
      <c r="D306" s="186" t="s">
        <v>1712</v>
      </c>
      <c r="E306" s="156" t="s">
        <v>265</v>
      </c>
      <c r="F306" s="15" t="s">
        <v>1738</v>
      </c>
      <c r="G306" s="33"/>
      <c r="H306" s="33"/>
      <c r="I306" s="33"/>
      <c r="J306" s="33"/>
      <c r="K306" s="186" t="s">
        <v>1739</v>
      </c>
    </row>
    <row r="307" spans="1:18" ht="85">
      <c r="A307" s="129">
        <v>305</v>
      </c>
      <c r="B307" s="33"/>
      <c r="C307" s="186" t="s">
        <v>1685</v>
      </c>
      <c r="D307" s="186" t="s">
        <v>1713</v>
      </c>
      <c r="E307" s="156" t="s">
        <v>1059</v>
      </c>
      <c r="F307" s="15" t="s">
        <v>1714</v>
      </c>
      <c r="G307" s="186" t="s">
        <v>907</v>
      </c>
      <c r="H307" s="186"/>
      <c r="I307" s="33"/>
      <c r="K307" t="s">
        <v>1740</v>
      </c>
    </row>
    <row r="308" spans="1:18" ht="99">
      <c r="A308" s="129">
        <v>306</v>
      </c>
      <c r="C308" s="191" t="s">
        <v>1722</v>
      </c>
      <c r="D308" t="s">
        <v>1723</v>
      </c>
      <c r="E308" s="156" t="s">
        <v>265</v>
      </c>
      <c r="F308" s="15" t="s">
        <v>1725</v>
      </c>
      <c r="I308" s="32"/>
      <c r="K308" t="s">
        <v>1724</v>
      </c>
    </row>
    <row r="309" spans="1:18" ht="221">
      <c r="A309" s="129">
        <v>307</v>
      </c>
      <c r="C309" t="s">
        <v>1810</v>
      </c>
      <c r="D309" t="s">
        <v>1811</v>
      </c>
      <c r="E309" s="129"/>
      <c r="F309" s="15" t="s">
        <v>1812</v>
      </c>
      <c r="G309" t="s">
        <v>1813</v>
      </c>
      <c r="H309" t="s">
        <v>1814</v>
      </c>
      <c r="I309" s="32" t="s">
        <v>1815</v>
      </c>
    </row>
    <row r="310" spans="1:18" ht="57">
      <c r="A310" s="129">
        <v>308</v>
      </c>
      <c r="C310" t="s">
        <v>1816</v>
      </c>
      <c r="D310" t="s">
        <v>1817</v>
      </c>
      <c r="E310" s="156" t="s">
        <v>634</v>
      </c>
      <c r="F310" s="15" t="s">
        <v>1818</v>
      </c>
      <c r="I310" t="s">
        <v>1819</v>
      </c>
      <c r="K310" t="s">
        <v>1820</v>
      </c>
    </row>
    <row r="311" spans="1:18" ht="153">
      <c r="A311" s="129">
        <v>309</v>
      </c>
      <c r="C311" t="s">
        <v>1821</v>
      </c>
      <c r="D311" t="s">
        <v>1822</v>
      </c>
      <c r="E311" s="129" t="s">
        <v>265</v>
      </c>
      <c r="F311" s="32" t="s">
        <v>1823</v>
      </c>
      <c r="I311" s="108" t="s">
        <v>1824</v>
      </c>
    </row>
    <row r="312" spans="1:18" ht="85">
      <c r="A312" s="129">
        <v>310</v>
      </c>
      <c r="D312" t="s">
        <v>1825</v>
      </c>
      <c r="E312" s="156" t="s">
        <v>266</v>
      </c>
      <c r="F312" s="15" t="s">
        <v>1826</v>
      </c>
    </row>
    <row r="313" spans="1:18" ht="85">
      <c r="A313" s="129">
        <v>311</v>
      </c>
      <c r="C313" t="s">
        <v>1827</v>
      </c>
      <c r="E313" s="129" t="s">
        <v>265</v>
      </c>
      <c r="F313" s="15" t="s">
        <v>1828</v>
      </c>
      <c r="I313" s="32" t="s">
        <v>1829</v>
      </c>
      <c r="K313" t="s">
        <v>1830</v>
      </c>
    </row>
    <row r="314" spans="1:18" ht="102">
      <c r="A314" s="129">
        <v>312</v>
      </c>
      <c r="C314" t="s">
        <v>1831</v>
      </c>
      <c r="D314" t="s">
        <v>1832</v>
      </c>
      <c r="E314" t="s">
        <v>266</v>
      </c>
      <c r="F314" t="s">
        <v>1833</v>
      </c>
      <c r="I314" s="32" t="s">
        <v>1834</v>
      </c>
    </row>
    <row r="315" spans="1:18">
      <c r="A315" s="129">
        <v>313</v>
      </c>
      <c r="C315" t="s">
        <v>1835</v>
      </c>
      <c r="D315" t="s">
        <v>1836</v>
      </c>
      <c r="E315" t="s">
        <v>265</v>
      </c>
      <c r="F315" t="s">
        <v>1837</v>
      </c>
      <c r="K315" t="s">
        <v>1838</v>
      </c>
    </row>
    <row r="316" spans="1:18">
      <c r="A316" s="129">
        <v>314</v>
      </c>
      <c r="C316" t="s">
        <v>1839</v>
      </c>
      <c r="D316" t="s">
        <v>1840</v>
      </c>
      <c r="E316" t="s">
        <v>266</v>
      </c>
      <c r="F316" t="s">
        <v>1934</v>
      </c>
      <c r="I316" t="s">
        <v>1841</v>
      </c>
    </row>
    <row r="317" spans="1:18" ht="51">
      <c r="A317" s="129">
        <v>315</v>
      </c>
      <c r="C317" t="s">
        <v>1842</v>
      </c>
      <c r="D317" t="s">
        <v>1843</v>
      </c>
      <c r="E317" t="s">
        <v>1539</v>
      </c>
      <c r="F317" t="s">
        <v>1844</v>
      </c>
      <c r="I317" s="32" t="s">
        <v>1845</v>
      </c>
      <c r="K317" t="s">
        <v>1935</v>
      </c>
    </row>
    <row r="318" spans="1:18" ht="68">
      <c r="A318" s="129">
        <v>316</v>
      </c>
      <c r="C318" t="s">
        <v>1846</v>
      </c>
      <c r="D318" t="s">
        <v>1847</v>
      </c>
      <c r="E318" t="s">
        <v>1539</v>
      </c>
      <c r="F318" t="s">
        <v>1848</v>
      </c>
      <c r="I318" s="32" t="s">
        <v>1849</v>
      </c>
    </row>
    <row r="319" spans="1:18">
      <c r="A319" s="129">
        <v>317</v>
      </c>
      <c r="D319" t="s">
        <v>977</v>
      </c>
      <c r="E319" t="s">
        <v>1539</v>
      </c>
      <c r="F319" t="s">
        <v>1850</v>
      </c>
      <c r="I319" t="s">
        <v>978</v>
      </c>
      <c r="K319" t="s">
        <v>1936</v>
      </c>
    </row>
    <row r="320" spans="1:18">
      <c r="A320" s="129">
        <v>318</v>
      </c>
      <c r="C320" t="s">
        <v>1851</v>
      </c>
      <c r="D320" t="s">
        <v>1852</v>
      </c>
      <c r="E320" t="s">
        <v>1539</v>
      </c>
      <c r="F320" t="s">
        <v>1853</v>
      </c>
      <c r="I320" t="s">
        <v>1854</v>
      </c>
      <c r="K320" t="s">
        <v>1937</v>
      </c>
    </row>
    <row r="321" spans="1:31" ht="170">
      <c r="A321" s="129">
        <v>319</v>
      </c>
      <c r="D321" t="s">
        <v>1855</v>
      </c>
      <c r="E321" t="s">
        <v>265</v>
      </c>
      <c r="F321" s="32" t="s">
        <v>1856</v>
      </c>
      <c r="I321" t="s">
        <v>1857</v>
      </c>
    </row>
    <row r="322" spans="1:31" ht="51">
      <c r="A322" s="129">
        <v>320</v>
      </c>
      <c r="D322" t="s">
        <v>1858</v>
      </c>
      <c r="E322" t="s">
        <v>1539</v>
      </c>
      <c r="F322" t="s">
        <v>1859</v>
      </c>
      <c r="I322" s="32" t="s">
        <v>1860</v>
      </c>
      <c r="K322" t="s">
        <v>1938</v>
      </c>
    </row>
    <row r="323" spans="1:31">
      <c r="A323" s="129">
        <v>321</v>
      </c>
      <c r="D323" t="s">
        <v>1861</v>
      </c>
      <c r="E323" t="s">
        <v>1743</v>
      </c>
      <c r="F323" t="s">
        <v>1862</v>
      </c>
      <c r="I323" t="s">
        <v>1863</v>
      </c>
      <c r="K323" t="s">
        <v>1939</v>
      </c>
    </row>
    <row r="324" spans="1:31" ht="68">
      <c r="A324" s="129">
        <v>322</v>
      </c>
      <c r="D324" t="s">
        <v>1864</v>
      </c>
      <c r="E324" t="s">
        <v>265</v>
      </c>
      <c r="F324" t="s">
        <v>1865</v>
      </c>
      <c r="I324" s="32" t="s">
        <v>1866</v>
      </c>
    </row>
    <row r="325" spans="1:31" ht="57">
      <c r="A325" s="129">
        <v>323</v>
      </c>
      <c r="B325" s="33"/>
      <c r="C325" s="186" t="s">
        <v>1870</v>
      </c>
      <c r="D325" s="33"/>
      <c r="E325" s="156" t="s">
        <v>264</v>
      </c>
      <c r="F325" s="15" t="s">
        <v>1871</v>
      </c>
      <c r="G325" s="33"/>
      <c r="H325" s="33"/>
      <c r="I325" s="194"/>
      <c r="J325" s="33"/>
      <c r="K325" s="33"/>
      <c r="L325" s="141"/>
      <c r="M325" s="33"/>
      <c r="N325" s="33"/>
      <c r="O325" s="33"/>
      <c r="P325" s="33"/>
      <c r="Q325" s="33"/>
      <c r="R325" s="33"/>
      <c r="S325" s="33"/>
      <c r="T325" s="33"/>
      <c r="U325" s="33"/>
      <c r="V325" s="33"/>
      <c r="W325" s="33"/>
      <c r="X325" s="33"/>
      <c r="Y325" s="33"/>
      <c r="Z325" s="33"/>
      <c r="AA325" s="33"/>
      <c r="AB325" s="33"/>
      <c r="AC325" s="33"/>
      <c r="AD325" s="33"/>
      <c r="AE325" s="33"/>
    </row>
    <row r="326" spans="1:31" ht="71">
      <c r="A326" s="129">
        <v>324</v>
      </c>
      <c r="B326" s="33"/>
      <c r="C326" s="186" t="s">
        <v>1872</v>
      </c>
      <c r="D326" s="186" t="s">
        <v>1873</v>
      </c>
      <c r="E326" s="156" t="s">
        <v>266</v>
      </c>
      <c r="F326" s="15" t="s">
        <v>1940</v>
      </c>
      <c r="G326" s="33"/>
      <c r="H326" s="33"/>
      <c r="I326" s="194"/>
      <c r="J326" s="33"/>
      <c r="K326" s="33" t="s">
        <v>1941</v>
      </c>
      <c r="L326" s="141"/>
      <c r="M326" s="33"/>
      <c r="N326" s="33"/>
      <c r="O326" s="33"/>
      <c r="P326" s="33"/>
      <c r="Q326" s="33"/>
      <c r="R326" s="33"/>
      <c r="S326" s="33"/>
      <c r="T326" s="33"/>
      <c r="U326" s="33"/>
      <c r="V326" s="33"/>
      <c r="W326" s="33"/>
      <c r="X326" s="33"/>
      <c r="Y326" s="33"/>
      <c r="Z326" s="33"/>
      <c r="AA326" s="33"/>
      <c r="AB326" s="33"/>
      <c r="AC326" s="33"/>
      <c r="AD326" s="33"/>
      <c r="AE326" s="33"/>
    </row>
    <row r="327" spans="1:31" ht="71">
      <c r="A327" s="129">
        <v>325</v>
      </c>
      <c r="B327" s="33"/>
      <c r="C327" s="186"/>
      <c r="D327" s="186" t="s">
        <v>1875</v>
      </c>
      <c r="E327" s="156" t="s">
        <v>974</v>
      </c>
      <c r="F327" s="15" t="s">
        <v>1942</v>
      </c>
      <c r="G327" s="33"/>
      <c r="H327" s="33"/>
      <c r="I327" s="194"/>
      <c r="J327" s="33"/>
      <c r="K327" s="129" t="s">
        <v>1898</v>
      </c>
      <c r="L327" s="141"/>
      <c r="M327" s="33"/>
      <c r="N327" s="33"/>
      <c r="O327" s="33"/>
      <c r="P327" s="33"/>
      <c r="Q327" s="33"/>
      <c r="R327" s="33"/>
      <c r="S327" s="33"/>
      <c r="T327" s="33"/>
      <c r="U327" s="33"/>
      <c r="V327" s="33"/>
      <c r="W327" s="33"/>
      <c r="X327" s="33"/>
      <c r="Y327" s="33"/>
      <c r="Z327" s="33"/>
      <c r="AA327" s="33"/>
      <c r="AB327" s="33"/>
      <c r="AC327" s="33"/>
      <c r="AD327" s="33"/>
      <c r="AE327" s="33"/>
    </row>
    <row r="328" spans="1:31" ht="85">
      <c r="A328" s="129">
        <v>326</v>
      </c>
      <c r="B328" s="33"/>
      <c r="C328" s="33" t="s">
        <v>1943</v>
      </c>
      <c r="D328" s="186" t="s">
        <v>1944</v>
      </c>
      <c r="E328" s="156" t="s">
        <v>878</v>
      </c>
      <c r="F328" s="15" t="s">
        <v>1945</v>
      </c>
      <c r="G328" s="33"/>
      <c r="H328" s="33"/>
      <c r="I328" s="194"/>
      <c r="J328" s="33"/>
      <c r="K328" s="129" t="s">
        <v>1946</v>
      </c>
    </row>
    <row r="329" spans="1:31" ht="153">
      <c r="A329">
        <v>327</v>
      </c>
      <c r="C329" t="s">
        <v>1947</v>
      </c>
      <c r="E329" t="s">
        <v>266</v>
      </c>
      <c r="F329" s="32" t="s">
        <v>1948</v>
      </c>
    </row>
    <row r="330" spans="1:31">
      <c r="A330">
        <v>328</v>
      </c>
      <c r="C330" t="s">
        <v>1949</v>
      </c>
      <c r="D330" t="s">
        <v>1950</v>
      </c>
      <c r="E330" t="s">
        <v>264</v>
      </c>
      <c r="F330" t="s">
        <v>1951</v>
      </c>
    </row>
    <row r="331" spans="1:31">
      <c r="A331">
        <v>329</v>
      </c>
      <c r="D331" t="s">
        <v>1952</v>
      </c>
      <c r="E331" t="s">
        <v>1539</v>
      </c>
      <c r="F331" t="s">
        <v>1953</v>
      </c>
      <c r="K331" t="s">
        <v>1954</v>
      </c>
    </row>
    <row r="332" spans="1:31">
      <c r="A332">
        <v>330</v>
      </c>
      <c r="C332" t="s">
        <v>1955</v>
      </c>
      <c r="D332" t="s">
        <v>1956</v>
      </c>
      <c r="E332" t="s">
        <v>265</v>
      </c>
      <c r="F332" t="s">
        <v>1957</v>
      </c>
      <c r="K332" t="s">
        <v>1958</v>
      </c>
    </row>
    <row r="333" spans="1:31">
      <c r="A333">
        <v>331</v>
      </c>
      <c r="D333" t="s">
        <v>1959</v>
      </c>
      <c r="E333" t="s">
        <v>265</v>
      </c>
      <c r="F333" t="s">
        <v>1960</v>
      </c>
      <c r="K333" t="s">
        <v>1961</v>
      </c>
    </row>
    <row r="334" spans="1:31">
      <c r="A334">
        <v>332</v>
      </c>
      <c r="C334" t="s">
        <v>2069</v>
      </c>
      <c r="D334" t="s">
        <v>2070</v>
      </c>
      <c r="E334" t="s">
        <v>264</v>
      </c>
      <c r="F334" t="s">
        <v>2068</v>
      </c>
    </row>
  </sheetData>
  <phoneticPr fontId="2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74000-72D1-B945-B802-1B1F1ABF8A23}">
  <sheetPr codeName="Sheet5"/>
  <dimension ref="A1:E21"/>
  <sheetViews>
    <sheetView zoomScale="171" workbookViewId="0">
      <selection activeCell="A12" sqref="A12:XFD12"/>
    </sheetView>
  </sheetViews>
  <sheetFormatPr baseColWidth="10" defaultRowHeight="16"/>
  <cols>
    <col min="1" max="1" width="30.1640625" customWidth="1"/>
    <col min="2" max="2" width="24.83203125" customWidth="1"/>
  </cols>
  <sheetData>
    <row r="1" spans="1:5">
      <c r="A1" t="s">
        <v>1615</v>
      </c>
      <c r="B1" t="s">
        <v>1592</v>
      </c>
      <c r="C1" t="s">
        <v>1603</v>
      </c>
      <c r="D1" t="s">
        <v>1604</v>
      </c>
      <c r="E1" t="s">
        <v>1605</v>
      </c>
    </row>
    <row r="2" spans="1:5">
      <c r="A2" s="164" t="s">
        <v>1572</v>
      </c>
      <c r="B2" s="164" t="s">
        <v>1593</v>
      </c>
    </row>
    <row r="3" spans="1:5">
      <c r="A3" s="164" t="s">
        <v>1574</v>
      </c>
      <c r="B3" s="164" t="s">
        <v>1594</v>
      </c>
      <c r="E3" s="164"/>
    </row>
    <row r="4" spans="1:5">
      <c r="A4" s="164" t="s">
        <v>1576</v>
      </c>
      <c r="B4" s="164" t="s">
        <v>1595</v>
      </c>
      <c r="E4" s="164"/>
    </row>
    <row r="5" spans="1:5">
      <c r="A5" s="164" t="s">
        <v>1578</v>
      </c>
      <c r="B5" s="164" t="s">
        <v>1596</v>
      </c>
    </row>
    <row r="6" spans="1:5">
      <c r="A6" s="164" t="s">
        <v>1580</v>
      </c>
      <c r="B6" s="164" t="s">
        <v>1597</v>
      </c>
    </row>
    <row r="7" spans="1:5">
      <c r="A7" s="164" t="s">
        <v>1582</v>
      </c>
      <c r="B7" s="164" t="s">
        <v>1598</v>
      </c>
    </row>
    <row r="8" spans="1:5">
      <c r="A8" s="164" t="s">
        <v>1584</v>
      </c>
      <c r="B8" s="164" t="s">
        <v>1599</v>
      </c>
    </row>
    <row r="9" spans="1:5">
      <c r="A9" s="164" t="s">
        <v>1586</v>
      </c>
      <c r="B9" s="164" t="s">
        <v>1600</v>
      </c>
    </row>
    <row r="10" spans="1:5">
      <c r="A10" s="164" t="s">
        <v>1588</v>
      </c>
      <c r="B10" s="164" t="s">
        <v>1601</v>
      </c>
    </row>
    <row r="11" spans="1:5">
      <c r="A11" s="164" t="s">
        <v>1590</v>
      </c>
      <c r="B11" s="164" t="s">
        <v>1602</v>
      </c>
    </row>
    <row r="12" spans="1:5">
      <c r="A12" s="164" t="s">
        <v>1573</v>
      </c>
    </row>
    <row r="13" spans="1:5">
      <c r="A13" s="164" t="s">
        <v>1575</v>
      </c>
    </row>
    <row r="14" spans="1:5">
      <c r="A14" s="164" t="s">
        <v>1577</v>
      </c>
    </row>
    <row r="15" spans="1:5">
      <c r="A15" s="164" t="s">
        <v>1579</v>
      </c>
    </row>
    <row r="16" spans="1:5">
      <c r="A16" s="164" t="s">
        <v>1581</v>
      </c>
    </row>
    <row r="17" spans="1:1">
      <c r="A17" s="164" t="s">
        <v>1583</v>
      </c>
    </row>
    <row r="18" spans="1:1">
      <c r="A18" s="164" t="s">
        <v>1585</v>
      </c>
    </row>
    <row r="19" spans="1:1">
      <c r="A19" s="164" t="s">
        <v>1587</v>
      </c>
    </row>
    <row r="20" spans="1:1">
      <c r="A20" s="164" t="s">
        <v>1589</v>
      </c>
    </row>
    <row r="21" spans="1:1">
      <c r="A21" s="164" t="s">
        <v>1591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Results</vt:lpstr>
      <vt:lpstr>Schedule</vt:lpstr>
      <vt:lpstr>Sheet1</vt:lpstr>
      <vt:lpstr>Tracker</vt:lpstr>
      <vt:lpstr>database</vt:lpstr>
      <vt:lpstr>ringfence</vt:lpstr>
      <vt:lpstr>CompanyName</vt:lpstr>
      <vt:lpstr>Page1</vt:lpstr>
      <vt:lpstr>RingFence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Terry, Chan Cheuk Hang 陳卓恆</cp:lastModifiedBy>
  <dcterms:created xsi:type="dcterms:W3CDTF">2026-04-03T12:24:17Z</dcterms:created>
  <dcterms:modified xsi:type="dcterms:W3CDTF">2026-05-26T10:04:44Z</dcterms:modified>
</cp:coreProperties>
</file>